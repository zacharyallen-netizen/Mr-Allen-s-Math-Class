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oster" sheetId="2" state="visible" r:id="rId4"/>
    <sheet name="Mastery Dashboard" sheetId="3" state="visible" r:id="rId5"/>
    <sheet name="Pre-Post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<sst xmlns="http://schemas.openxmlformats.org/spreadsheetml/2006/main" count="356" uniqueCount="153">
  <si>
    <t xml:space="preserve">FLUENCY LAB — Fluency Tracker &amp; Dashboard</t>
  </si>
  <si>
    <t xml:space="preserve">Module 1: Multi-Digit Addition &amp; Subtraction   ·   Grade 8 Mathematics</t>
  </si>
  <si>
    <t xml:space="preserve">What this workbook does</t>
  </si>
  <si>
    <t xml:space="preserve">It turns the scores from your weekly fluency checks into (1) an at-a-glance mastery dashboard that colors itself, (2) a growth trend for every student, and (3) a pre/post effect-size analysis that shows whether the program is working.</t>
  </si>
  <si>
    <t xml:space="preserve">The four tabs</t>
  </si>
  <si>
    <t xml:space="preserve">•  Roster — your 61 students, pre-loaded, with baseline IXL levels and a starting intervention group (Red / Yellow / Green).</t>
  </si>
  <si>
    <t xml:space="preserve">•  Mastery Dashboard — type each student's weekly mastery % (0–100). Cells band themselves; Latest, Slope, and Status update automatically.</t>
  </si>
  <si>
    <t xml:space="preserve">•  Pre–Post Analysis — type each student's pre-test and post-test %. Cohen's d and the paired t-test compute automatically.</t>
  </si>
  <si>
    <t xml:space="preserve">How to read it</t>
  </si>
  <si>
    <t xml:space="preserve">Mastery bands:   ≥ 80 = On track (green)      60–79 = Developing (yellow)      below 60 = Intervention (red)</t>
  </si>
  <si>
    <t xml:space="preserve">Slope = average change in mastery per check. A positive slope means the student is climbing; zero or negative is a flag.</t>
  </si>
  <si>
    <t xml:space="preserve">Cohen's d = the size of the pre→post gain. As a rule of thumb (Hattie): 0.2 small · 0.5 medium · 0.8 large. Roughly 0.4 is a typical year's growth, so a module clearing 0.4 is doing real work.</t>
  </si>
  <si>
    <t xml:space="preserve">Only type in the shaded cells</t>
  </si>
  <si>
    <t xml:space="preserve">Every other cell is a formula — leave them alone and they will keep themselves correct.</t>
  </si>
  <si>
    <t xml:space="preserve">To use in Google Sheets: upload this file to Google Drive and open it with Google Sheets (File ▸ Import, or just double-click). All formulas, colors, and the chart carry over.</t>
  </si>
  <si>
    <t xml:space="preserve">#</t>
  </si>
  <si>
    <t xml:space="preserve">Student</t>
  </si>
  <si>
    <t xml:space="preserve">Baseline IXL Level</t>
  </si>
  <si>
    <t xml:space="preserve">Baseline Gap (grade)</t>
  </si>
  <si>
    <t xml:space="preserve">Sample Recommended Skill</t>
  </si>
  <si>
    <t xml:space="preserve">Starting Group</t>
  </si>
  <si>
    <t xml:space="preserve">Wells Allen</t>
  </si>
  <si>
    <t xml:space="preserve">Third grade</t>
  </si>
  <si>
    <t xml:space="preserve">Find the area of complex figures by dividi</t>
  </si>
  <si>
    <t xml:space="preserve">Yellow</t>
  </si>
  <si>
    <t xml:space="preserve">Guinevere Arena</t>
  </si>
  <si>
    <t xml:space="preserve">First grade</t>
  </si>
  <si>
    <t xml:space="preserve">Cubes and rectangular prisms</t>
  </si>
  <si>
    <t xml:space="preserve">Red</t>
  </si>
  <si>
    <t xml:space="preserve">Hayden Banks</t>
  </si>
  <si>
    <t xml:space="preserve">Fourth grade</t>
  </si>
  <si>
    <t xml:space="preserve">Use fractions to find the measure of an an</t>
  </si>
  <si>
    <t xml:space="preserve">Green</t>
  </si>
  <si>
    <t xml:space="preserve">Maggie Rae Bricker</t>
  </si>
  <si>
    <t xml:space="preserve">Second grade</t>
  </si>
  <si>
    <t xml:space="preserve">Tile a rectangle with squares</t>
  </si>
  <si>
    <t xml:space="preserve">Shaan Carlson</t>
  </si>
  <si>
    <t xml:space="preserve">Giovanna Castaneda</t>
  </si>
  <si>
    <t xml:space="preserve">Caleigh Castelin</t>
  </si>
  <si>
    <t xml:space="preserve">Find the area of rectangles: word problems</t>
  </si>
  <si>
    <t xml:space="preserve">Sadie Castelin</t>
  </si>
  <si>
    <t xml:space="preserve">Seventh grade</t>
  </si>
  <si>
    <t xml:space="preserve">Cross sections of three-dimensional figure</t>
  </si>
  <si>
    <t xml:space="preserve">Julie Cola</t>
  </si>
  <si>
    <t xml:space="preserve">Sixth grade</t>
  </si>
  <si>
    <t xml:space="preserve">Understanding area of a parallelogram</t>
  </si>
  <si>
    <t xml:space="preserve">Cramer Dean</t>
  </si>
  <si>
    <t xml:space="preserve">Volume of cubes and rectangular prisms wit</t>
  </si>
  <si>
    <t xml:space="preserve">Fredrick Eifler</t>
  </si>
  <si>
    <t xml:space="preserve">Fifth grade</t>
  </si>
  <si>
    <t xml:space="preserve">Volume of cubes and rectangular prisms</t>
  </si>
  <si>
    <t xml:space="preserve">Anya Galvez</t>
  </si>
  <si>
    <t xml:space="preserve">Perimeter of rectangles</t>
  </si>
  <si>
    <t xml:space="preserve">Katelyn Good</t>
  </si>
  <si>
    <t xml:space="preserve">Surface area of cubes and rectangular pris</t>
  </si>
  <si>
    <t xml:space="preserve">Micah Hernandez</t>
  </si>
  <si>
    <t xml:space="preserve">Sides and angles of quadrilaterals</t>
  </si>
  <si>
    <t xml:space="preserve">Megan Herrera-Mondragon</t>
  </si>
  <si>
    <t xml:space="preserve">Select figures with a given area</t>
  </si>
  <si>
    <t xml:space="preserve">Sophia Myers</t>
  </si>
  <si>
    <t xml:space="preserve">Understanding area of a triangle</t>
  </si>
  <si>
    <t xml:space="preserve">Gracie North</t>
  </si>
  <si>
    <t xml:space="preserve">Kera Owenby</t>
  </si>
  <si>
    <t xml:space="preserve">Identify parallelograms</t>
  </si>
  <si>
    <t xml:space="preserve">Emmett Rhodarmer</t>
  </si>
  <si>
    <t xml:space="preserve">Compose two-dimensional shapes</t>
  </si>
  <si>
    <t xml:space="preserve">Leslie Rittenberry</t>
  </si>
  <si>
    <t xml:space="preserve">Identify quadrilaterals</t>
  </si>
  <si>
    <t xml:space="preserve">Teagan Rubianes</t>
  </si>
  <si>
    <t xml:space="preserve">Nolen Smallwood</t>
  </si>
  <si>
    <t xml:space="preserve">Stella Stewart</t>
  </si>
  <si>
    <t xml:space="preserve">Kaylee Thomas</t>
  </si>
  <si>
    <t xml:space="preserve">Joshua Thorpe</t>
  </si>
  <si>
    <t xml:space="preserve">Max Tillman</t>
  </si>
  <si>
    <t xml:space="preserve">Leila Weeks</t>
  </si>
  <si>
    <t xml:space="preserve">Points, lines, line segments, rays, and an</t>
  </si>
  <si>
    <t xml:space="preserve">Leona Weeks</t>
  </si>
  <si>
    <t xml:space="preserve">Is it a polygon?</t>
  </si>
  <si>
    <t xml:space="preserve">Tori Wood</t>
  </si>
  <si>
    <t xml:space="preserve">Name polygons: up to 6 sides</t>
  </si>
  <si>
    <t xml:space="preserve">Isaiah Wright</t>
  </si>
  <si>
    <t xml:space="preserve">Find the area of rectangles and squares</t>
  </si>
  <si>
    <t xml:space="preserve">Logan Wright</t>
  </si>
  <si>
    <t xml:space="preserve">Harlan Butler</t>
  </si>
  <si>
    <t xml:space="preserve">Emma Canterbury</t>
  </si>
  <si>
    <t xml:space="preserve">Aubriella Covington</t>
  </si>
  <si>
    <t xml:space="preserve">Charity Davis</t>
  </si>
  <si>
    <t xml:space="preserve">Milo Davis</t>
  </si>
  <si>
    <t xml:space="preserve">Price Edmonds</t>
  </si>
  <si>
    <t xml:space="preserve">Andres Falcon</t>
  </si>
  <si>
    <t xml:space="preserve">Malachi Gann</t>
  </si>
  <si>
    <t xml:space="preserve">Roan Gardner</t>
  </si>
  <si>
    <t xml:space="preserve">Ava Grucci</t>
  </si>
  <si>
    <t xml:space="preserve">Emma Holton</t>
  </si>
  <si>
    <t xml:space="preserve">James Kelly</t>
  </si>
  <si>
    <t xml:space="preserve">Volume of rectangular prisms made of unit </t>
  </si>
  <si>
    <t xml:space="preserve">Henry Kesler</t>
  </si>
  <si>
    <t xml:space="preserve">Triangle inequality</t>
  </si>
  <si>
    <t xml:space="preserve">Hannah Kirschner</t>
  </si>
  <si>
    <t xml:space="preserve">Phoenix Lamore</t>
  </si>
  <si>
    <t xml:space="preserve">Makayla Lewis</t>
  </si>
  <si>
    <t xml:space="preserve">Aria Meduri</t>
  </si>
  <si>
    <t xml:space="preserve">Jaysen Murdaugh</t>
  </si>
  <si>
    <t xml:space="preserve">Jackson Penland</t>
  </si>
  <si>
    <t xml:space="preserve">Acute, right, obtuse, and straight angles</t>
  </si>
  <si>
    <t xml:space="preserve">Austin Penley</t>
  </si>
  <si>
    <t xml:space="preserve">Leila Scroggs</t>
  </si>
  <si>
    <t xml:space="preserve">Area of compound figures with triangles, s</t>
  </si>
  <si>
    <t xml:space="preserve">Clara Shaw</t>
  </si>
  <si>
    <t xml:space="preserve">Kaitlyn Shifflett</t>
  </si>
  <si>
    <t xml:space="preserve">Hazel Smith</t>
  </si>
  <si>
    <t xml:space="preserve">John Stalowy</t>
  </si>
  <si>
    <t xml:space="preserve">Brigitte Trautman</t>
  </si>
  <si>
    <t xml:space="preserve">Zachary Willetts</t>
  </si>
  <si>
    <t xml:space="preserve">Samuel Yates</t>
  </si>
  <si>
    <t xml:space="preserve">Declan Yeomans</t>
  </si>
  <si>
    <t xml:space="preserve">Aubree Younglove</t>
  </si>
  <si>
    <t xml:space="preserve">Groups were assigned automatically by baseline tertile; adjust any in the shaded column. Baseline level and gap come from the IXL LevelUp diagnostic (2026-08-25).</t>
  </si>
  <si>
    <t xml:space="preserve">Mastery Dashboard — weekly fluency checks</t>
  </si>
  <si>
    <t xml:space="preserve">Type each student's mastery % (0–100) in the shaded Check columns. Everything else updates itself.</t>
  </si>
  <si>
    <t xml:space="preserve">Group</t>
  </si>
  <si>
    <t xml:space="preserve">Check 1</t>
  </si>
  <si>
    <t xml:space="preserve">Check 2</t>
  </si>
  <si>
    <t xml:space="preserve">Check 3</t>
  </si>
  <si>
    <t xml:space="preserve">Check 4</t>
  </si>
  <si>
    <t xml:space="preserve">Check 5</t>
  </si>
  <si>
    <t xml:space="preserve">Check 6</t>
  </si>
  <si>
    <t xml:space="preserve">Check 7</t>
  </si>
  <si>
    <t xml:space="preserve">Check 8</t>
  </si>
  <si>
    <t xml:space="preserve">Check 9</t>
  </si>
  <si>
    <t xml:space="preserve">Check 10</t>
  </si>
  <si>
    <t xml:space="preserve">Latest</t>
  </si>
  <si>
    <t xml:space="preserve">Slope</t>
  </si>
  <si>
    <t xml:space="preserve">Status</t>
  </si>
  <si>
    <t xml:space="preserve">Week #</t>
  </si>
  <si>
    <t xml:space="preserve">Class average</t>
  </si>
  <si>
    <t xml:space="preserve">Pre / Post Analysis — module impact</t>
  </si>
  <si>
    <t xml:space="preserve">Type each student's pre-test and post-test mastery % (0–100). Fill both for a student to count in the analysis.</t>
  </si>
  <si>
    <t xml:space="preserve">Pre %</t>
  </si>
  <si>
    <t xml:space="preserve">Post %</t>
  </si>
  <si>
    <t xml:space="preserve">Gain</t>
  </si>
  <si>
    <t xml:space="preserve">Summary</t>
  </si>
  <si>
    <t xml:space="preserve">Students with both scores (n)</t>
  </si>
  <si>
    <t xml:space="preserve">Mean pre %</t>
  </si>
  <si>
    <t xml:space="preserve">Mean post %</t>
  </si>
  <si>
    <t xml:space="preserve">Mean gain (pts)</t>
  </si>
  <si>
    <t xml:space="preserve">SD pre</t>
  </si>
  <si>
    <t xml:space="preserve">SD post</t>
  </si>
  <si>
    <t xml:space="preserve">Pooled SD</t>
  </si>
  <si>
    <t xml:space="preserve">Cohen's d (effect size)</t>
  </si>
  <si>
    <t xml:space="preserve">Paired t-test p-value</t>
  </si>
  <si>
    <t xml:space="preserve">Interpretation (Hattie)</t>
  </si>
  <si>
    <t xml:space="preserve">d = (mean post − mean pre) ÷ pooled SD.  p from a two-tailed paired t-test.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</si>
</sst>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3B5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A7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9AA6B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D5"/>
        <bgColor rgb="FFEEF3F8"/>
      </patternFill>
    </fill>
    <fill>
      <patternFill patternType="solid">
        <fgColor rgb="FF2E5A87"/>
        <bgColor rgb="FF555555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B03A2E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00"/>
      <rgbColor rgb="FF800080"/>
      <rgbColor rgb="FF008080"/>
      <rgbColor rgb="FFD9D9D9"/>
      <rgbColor rgb="FF878787"/>
      <rgbColor rgb="FF9999FF"/>
      <rgbColor rgb="FF993366"/>
      <rgbColor rgb="FFFFF6D5"/>
      <rgbColor rgb="FFEEF3F8"/>
      <rgbColor rgb="FF660066"/>
      <rgbColor rgb="FFFF8080"/>
      <rgbColor rgb="FF0066CC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77777"/>
      <rgbColor rgb="FF9AA6B5"/>
      <rgbColor rgb="FF003366"/>
      <rgbColor rgb="FF339966"/>
      <rgbColor rgb="FF003300"/>
      <rgbColor rgb="FF555555"/>
      <rgbColor rgb="FFB03A2E"/>
      <rgbColor rgb="FF993366"/>
      <rgbColor rgb="FF2E5A87"/>
      <rgbColor rgb="FF1F3B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Class average mastery by check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5a87"/>
            </a:solidFill>
            <a:ln w="28080">
              <a:solidFill>
                <a:srgbClr val="2e5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'Mastery Dashboard'!$C$3:$L$3</c:f>
              <c:strCache>
                <c:ptCount val="10"/>
                <c:pt idx="0">
                  <c:v>Check 1</c:v>
                </c:pt>
                <c:pt idx="1">
                  <c:v>Check 2</c:v>
                </c:pt>
                <c:pt idx="2">
                  <c:v>Check 3</c:v>
                </c:pt>
                <c:pt idx="3">
                  <c:v>Check 4</c:v>
                </c:pt>
                <c:pt idx="4">
                  <c:v>Check 5</c:v>
                </c:pt>
                <c:pt idx="5">
                  <c:v>Check 6</c:v>
                </c:pt>
                <c:pt idx="6">
                  <c:v>Check 7</c:v>
                </c:pt>
                <c:pt idx="7">
                  <c:v>Check 8</c:v>
                </c:pt>
                <c:pt idx="8">
                  <c:v>Check 9</c:v>
                </c:pt>
                <c:pt idx="9">
                  <c:v>Check 10</c:v>
                </c:pt>
              </c:strCache>
            </c:strRef>
          </c:cat>
          <c:val>
            <c:numRef>
              <c:f>'Mastery Dashboard'!$C$66:$L$66</c:f>
              <c:numCache>
                <c:formatCode>General</c:formatCode>
                <c:ptCount val="1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460732"/>
        <c:axId val="258664"/>
      </c:lineChart>
      <c:catAx>
        <c:axId val="78460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Check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664"/>
        <c:crosses val="autoZero"/>
        <c:auto val="1"/>
        <c:lblAlgn val="ctr"/>
        <c:lblOffset val="100"/>
        <c:noMultiLvlLbl val="0"/>
      </c:catAx>
      <c:valAx>
        <c:axId val="25866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Mastery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60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66</xdr:row>
      <xdr:rowOff>130680</xdr:rowOff>
    </xdr:from>
    <xdr:to>
      <xdr:col>8</xdr:col>
      <xdr:colOff>120960</xdr:colOff>
      <xdr:row>79</xdr:row>
      <xdr:rowOff>173880</xdr:rowOff>
    </xdr:to>
    <xdr:graphicFrame>
      <xdr:nvGraphicFramePr>
        <xdr:cNvPr id="0" name="Chart 1"/>
        <xdr:cNvGraphicFramePr/>
      </xdr:nvGraphicFramePr>
      <xdr:xfrm>
        <a:off x="0" y="127062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4" t="s">
        <v>5</v>
      </c>
    </row>
    <row r="10" customFormat="false" ht="23.8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4" t="s">
        <v>10</v>
      </c>
    </row>
    <row r="16" customFormat="false" ht="23.85" hidden="false" customHeight="false" outlineLevel="0" collapsed="false">
      <c r="B16" s="4" t="s">
        <v>11</v>
      </c>
    </row>
    <row r="18" customFormat="false" ht="18" hidden="false" customHeight="true" outlineLevel="0" collapsed="false">
      <c r="B18" s="6" t="s">
        <v>12</v>
      </c>
    </row>
    <row r="19" customFormat="false" ht="15" hidden="false" customHeight="false" outlineLevel="0" collapsed="false">
      <c r="B19" s="4" t="s">
        <v>13</v>
      </c>
    </row>
    <row r="21" customFormat="false" ht="23.85" hidden="false" customHeight="false" outlineLevel="0" collapsed="false">
      <c r="B21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7" t="s">
        <v>15</v>
      </c>
      <c r="B1" s="8" t="s">
        <v>16</v>
      </c>
      <c r="C1" s="7" t="s">
        <v>17</v>
      </c>
      <c r="D1" s="7" t="s">
        <v>18</v>
      </c>
      <c r="E1" s="8" t="s">
        <v>19</v>
      </c>
      <c r="F1" s="7" t="s">
        <v>20</v>
      </c>
    </row>
    <row r="2" customFormat="false" ht="15" hidden="false" customHeight="false" outlineLevel="0" collapsed="false">
      <c r="A2" s="9" t="n">
        <v>1</v>
      </c>
      <c r="B2" s="10" t="s">
        <v>21</v>
      </c>
      <c r="C2" s="9" t="n">
        <v>350</v>
      </c>
      <c r="D2" s="9" t="s">
        <v>22</v>
      </c>
      <c r="E2" s="10" t="s">
        <v>23</v>
      </c>
      <c r="F2" s="11" t="s">
        <v>24</v>
      </c>
    </row>
    <row r="3" customFormat="false" ht="15" hidden="false" customHeight="false" outlineLevel="0" collapsed="false">
      <c r="A3" s="9" t="n">
        <v>2</v>
      </c>
      <c r="B3" s="10" t="s">
        <v>25</v>
      </c>
      <c r="C3" s="9" t="n">
        <v>210</v>
      </c>
      <c r="D3" s="9" t="s">
        <v>26</v>
      </c>
      <c r="E3" s="10" t="s">
        <v>27</v>
      </c>
      <c r="F3" s="11" t="s">
        <v>28</v>
      </c>
    </row>
    <row r="4" customFormat="false" ht="15" hidden="false" customHeight="false" outlineLevel="0" collapsed="false">
      <c r="A4" s="9" t="n">
        <v>3</v>
      </c>
      <c r="B4" s="10" t="s">
        <v>29</v>
      </c>
      <c r="C4" s="9" t="n">
        <v>470</v>
      </c>
      <c r="D4" s="9" t="s">
        <v>30</v>
      </c>
      <c r="E4" s="10" t="s">
        <v>31</v>
      </c>
      <c r="F4" s="11" t="s">
        <v>32</v>
      </c>
    </row>
    <row r="5" customFormat="false" ht="15" hidden="false" customHeight="false" outlineLevel="0" collapsed="false">
      <c r="A5" s="9" t="n">
        <v>4</v>
      </c>
      <c r="B5" s="10" t="s">
        <v>33</v>
      </c>
      <c r="C5" s="9" t="n">
        <v>230</v>
      </c>
      <c r="D5" s="9" t="s">
        <v>34</v>
      </c>
      <c r="E5" s="10" t="s">
        <v>35</v>
      </c>
      <c r="F5" s="11" t="s">
        <v>28</v>
      </c>
    </row>
    <row r="6" customFormat="false" ht="15" hidden="false" customHeight="false" outlineLevel="0" collapsed="false">
      <c r="A6" s="9" t="n">
        <v>5</v>
      </c>
      <c r="B6" s="10" t="s">
        <v>36</v>
      </c>
      <c r="C6" s="9" t="n">
        <v>430</v>
      </c>
      <c r="D6" s="9" t="s">
        <v>22</v>
      </c>
      <c r="E6" s="10" t="s">
        <v>23</v>
      </c>
      <c r="F6" s="11" t="s">
        <v>24</v>
      </c>
    </row>
    <row r="7" customFormat="false" ht="15" hidden="false" customHeight="false" outlineLevel="0" collapsed="false">
      <c r="A7" s="9" t="n">
        <v>6</v>
      </c>
      <c r="B7" s="10" t="s">
        <v>37</v>
      </c>
      <c r="C7" s="9" t="n">
        <v>410</v>
      </c>
      <c r="D7" s="9" t="s">
        <v>22</v>
      </c>
      <c r="E7" s="10" t="s">
        <v>23</v>
      </c>
      <c r="F7" s="11" t="s">
        <v>24</v>
      </c>
    </row>
    <row r="8" customFormat="false" ht="15" hidden="false" customHeight="false" outlineLevel="0" collapsed="false">
      <c r="A8" s="9" t="n">
        <v>7</v>
      </c>
      <c r="B8" s="10" t="s">
        <v>38</v>
      </c>
      <c r="C8" s="9" t="n">
        <v>380</v>
      </c>
      <c r="D8" s="9" t="s">
        <v>22</v>
      </c>
      <c r="E8" s="10" t="s">
        <v>39</v>
      </c>
      <c r="F8" s="11" t="s">
        <v>24</v>
      </c>
    </row>
    <row r="9" customFormat="false" ht="15" hidden="false" customHeight="false" outlineLevel="0" collapsed="false">
      <c r="A9" s="9" t="n">
        <v>8</v>
      </c>
      <c r="B9" s="10" t="s">
        <v>40</v>
      </c>
      <c r="C9" s="9" t="n">
        <v>590</v>
      </c>
      <c r="D9" s="9" t="s">
        <v>41</v>
      </c>
      <c r="E9" s="10" t="s">
        <v>42</v>
      </c>
      <c r="F9" s="11" t="s">
        <v>32</v>
      </c>
    </row>
    <row r="10" customFormat="false" ht="15" hidden="false" customHeight="false" outlineLevel="0" collapsed="false">
      <c r="A10" s="9" t="n">
        <v>9</v>
      </c>
      <c r="B10" s="10" t="s">
        <v>43</v>
      </c>
      <c r="C10" s="9" t="n">
        <v>570</v>
      </c>
      <c r="D10" s="9" t="s">
        <v>44</v>
      </c>
      <c r="E10" s="10" t="s">
        <v>45</v>
      </c>
      <c r="F10" s="11" t="s">
        <v>32</v>
      </c>
    </row>
    <row r="11" customFormat="false" ht="15" hidden="false" customHeight="false" outlineLevel="0" collapsed="false">
      <c r="A11" s="9" t="n">
        <v>10</v>
      </c>
      <c r="B11" s="10" t="s">
        <v>46</v>
      </c>
      <c r="C11" s="9" t="n">
        <v>0</v>
      </c>
      <c r="D11" s="9" t="s">
        <v>44</v>
      </c>
      <c r="E11" s="10" t="s">
        <v>47</v>
      </c>
      <c r="F11" s="11" t="s">
        <v>28</v>
      </c>
    </row>
    <row r="12" customFormat="false" ht="15" hidden="false" customHeight="false" outlineLevel="0" collapsed="false">
      <c r="A12" s="9" t="n">
        <v>11</v>
      </c>
      <c r="B12" s="10" t="s">
        <v>48</v>
      </c>
      <c r="C12" s="9" t="n">
        <v>550</v>
      </c>
      <c r="D12" s="9" t="s">
        <v>49</v>
      </c>
      <c r="E12" s="10" t="s">
        <v>50</v>
      </c>
      <c r="F12" s="11" t="s">
        <v>32</v>
      </c>
    </row>
    <row r="13" customFormat="false" ht="15" hidden="false" customHeight="false" outlineLevel="0" collapsed="false">
      <c r="A13" s="9" t="n">
        <v>12</v>
      </c>
      <c r="B13" s="10" t="s">
        <v>51</v>
      </c>
      <c r="C13" s="9" t="n">
        <v>390</v>
      </c>
      <c r="D13" s="9" t="s">
        <v>22</v>
      </c>
      <c r="E13" s="10" t="s">
        <v>52</v>
      </c>
      <c r="F13" s="11" t="s">
        <v>24</v>
      </c>
    </row>
    <row r="14" customFormat="false" ht="15" hidden="false" customHeight="false" outlineLevel="0" collapsed="false">
      <c r="A14" s="9" t="n">
        <v>13</v>
      </c>
      <c r="B14" s="10" t="s">
        <v>53</v>
      </c>
      <c r="C14" s="9" t="n">
        <v>650</v>
      </c>
      <c r="D14" s="9" t="s">
        <v>44</v>
      </c>
      <c r="E14" s="10" t="s">
        <v>54</v>
      </c>
      <c r="F14" s="11" t="s">
        <v>32</v>
      </c>
    </row>
    <row r="15" customFormat="false" ht="15" hidden="false" customHeight="false" outlineLevel="0" collapsed="false">
      <c r="A15" s="9" t="n">
        <v>14</v>
      </c>
      <c r="B15" s="10" t="s">
        <v>55</v>
      </c>
      <c r="C15" s="9" t="n">
        <v>440</v>
      </c>
      <c r="D15" s="9" t="s">
        <v>30</v>
      </c>
      <c r="E15" s="10" t="s">
        <v>56</v>
      </c>
      <c r="F15" s="11" t="s">
        <v>24</v>
      </c>
    </row>
    <row r="16" customFormat="false" ht="15" hidden="false" customHeight="false" outlineLevel="0" collapsed="false">
      <c r="A16" s="9" t="n">
        <v>15</v>
      </c>
      <c r="B16" s="10" t="s">
        <v>57</v>
      </c>
      <c r="C16" s="9" t="n">
        <v>290</v>
      </c>
      <c r="D16" s="9" t="s">
        <v>22</v>
      </c>
      <c r="E16" s="10" t="s">
        <v>58</v>
      </c>
      <c r="F16" s="11" t="s">
        <v>28</v>
      </c>
    </row>
    <row r="17" customFormat="false" ht="15" hidden="false" customHeight="false" outlineLevel="0" collapsed="false">
      <c r="A17" s="9" t="n">
        <v>16</v>
      </c>
      <c r="B17" s="10" t="s">
        <v>59</v>
      </c>
      <c r="C17" s="9" t="n">
        <v>650</v>
      </c>
      <c r="D17" s="9" t="s">
        <v>44</v>
      </c>
      <c r="E17" s="10" t="s">
        <v>60</v>
      </c>
      <c r="F17" s="11" t="s">
        <v>32</v>
      </c>
    </row>
    <row r="18" customFormat="false" ht="15" hidden="false" customHeight="false" outlineLevel="0" collapsed="false">
      <c r="A18" s="9" t="n">
        <v>17</v>
      </c>
      <c r="B18" s="10" t="s">
        <v>61</v>
      </c>
      <c r="C18" s="9" t="n">
        <v>460</v>
      </c>
      <c r="D18" s="9" t="s">
        <v>44</v>
      </c>
      <c r="E18" s="10" t="s">
        <v>47</v>
      </c>
      <c r="F18" s="11" t="s">
        <v>24</v>
      </c>
    </row>
    <row r="19" customFormat="false" ht="15" hidden="false" customHeight="false" outlineLevel="0" collapsed="false">
      <c r="A19" s="9" t="n">
        <v>18</v>
      </c>
      <c r="B19" s="10" t="s">
        <v>62</v>
      </c>
      <c r="C19" s="9" t="n">
        <v>290</v>
      </c>
      <c r="D19" s="9" t="s">
        <v>22</v>
      </c>
      <c r="E19" s="10" t="s">
        <v>63</v>
      </c>
      <c r="F19" s="11" t="s">
        <v>28</v>
      </c>
    </row>
    <row r="20" customFormat="false" ht="15" hidden="false" customHeight="false" outlineLevel="0" collapsed="false">
      <c r="A20" s="9" t="n">
        <v>19</v>
      </c>
      <c r="B20" s="10" t="s">
        <v>64</v>
      </c>
      <c r="C20" s="9" t="n">
        <v>220</v>
      </c>
      <c r="D20" s="9" t="s">
        <v>26</v>
      </c>
      <c r="E20" s="10" t="s">
        <v>65</v>
      </c>
      <c r="F20" s="11" t="s">
        <v>28</v>
      </c>
    </row>
    <row r="21" customFormat="false" ht="15" hidden="false" customHeight="false" outlineLevel="0" collapsed="false">
      <c r="A21" s="9" t="n">
        <v>20</v>
      </c>
      <c r="B21" s="10" t="s">
        <v>66</v>
      </c>
      <c r="C21" s="9" t="n">
        <v>220</v>
      </c>
      <c r="D21" s="9" t="s">
        <v>34</v>
      </c>
      <c r="E21" s="10" t="s">
        <v>67</v>
      </c>
      <c r="F21" s="11" t="s">
        <v>28</v>
      </c>
    </row>
    <row r="22" customFormat="false" ht="15" hidden="false" customHeight="false" outlineLevel="0" collapsed="false">
      <c r="A22" s="9" t="n">
        <v>21</v>
      </c>
      <c r="B22" s="10" t="s">
        <v>68</v>
      </c>
      <c r="C22" s="9" t="n">
        <v>380</v>
      </c>
      <c r="D22" s="9" t="s">
        <v>22</v>
      </c>
      <c r="E22" s="10" t="s">
        <v>63</v>
      </c>
      <c r="F22" s="11" t="s">
        <v>24</v>
      </c>
    </row>
    <row r="23" customFormat="false" ht="15" hidden="false" customHeight="false" outlineLevel="0" collapsed="false">
      <c r="A23" s="9" t="n">
        <v>22</v>
      </c>
      <c r="B23" s="10" t="s">
        <v>69</v>
      </c>
      <c r="C23" s="9" t="n">
        <v>570</v>
      </c>
      <c r="D23" s="9" t="s">
        <v>44</v>
      </c>
      <c r="E23" s="10" t="s">
        <v>45</v>
      </c>
      <c r="F23" s="11" t="s">
        <v>32</v>
      </c>
    </row>
    <row r="24" customFormat="false" ht="15" hidden="false" customHeight="false" outlineLevel="0" collapsed="false">
      <c r="A24" s="9" t="n">
        <v>23</v>
      </c>
      <c r="B24" s="10" t="s">
        <v>70</v>
      </c>
      <c r="C24" s="9" t="n">
        <v>430</v>
      </c>
      <c r="D24" s="9" t="s">
        <v>22</v>
      </c>
      <c r="E24" s="10" t="s">
        <v>63</v>
      </c>
      <c r="F24" s="11" t="s">
        <v>24</v>
      </c>
    </row>
    <row r="25" customFormat="false" ht="15" hidden="false" customHeight="false" outlineLevel="0" collapsed="false">
      <c r="A25" s="9" t="n">
        <v>24</v>
      </c>
      <c r="B25" s="10" t="s">
        <v>71</v>
      </c>
      <c r="C25" s="9" t="n">
        <v>0</v>
      </c>
      <c r="D25" s="9" t="s">
        <v>34</v>
      </c>
      <c r="E25" s="10" t="s">
        <v>67</v>
      </c>
      <c r="F25" s="11" t="s">
        <v>28</v>
      </c>
    </row>
    <row r="26" customFormat="false" ht="15" hidden="false" customHeight="false" outlineLevel="0" collapsed="false">
      <c r="A26" s="9" t="n">
        <v>25</v>
      </c>
      <c r="B26" s="10" t="s">
        <v>72</v>
      </c>
      <c r="C26" s="9" t="n">
        <v>0</v>
      </c>
      <c r="D26" s="9" t="s">
        <v>49</v>
      </c>
      <c r="E26" s="10" t="s">
        <v>50</v>
      </c>
      <c r="F26" s="11" t="s">
        <v>28</v>
      </c>
    </row>
    <row r="27" customFormat="false" ht="15" hidden="false" customHeight="false" outlineLevel="0" collapsed="false">
      <c r="A27" s="9" t="n">
        <v>26</v>
      </c>
      <c r="B27" s="10" t="s">
        <v>73</v>
      </c>
      <c r="C27" s="9" t="n">
        <v>0</v>
      </c>
      <c r="D27" s="9" t="s">
        <v>30</v>
      </c>
      <c r="E27" s="10" t="s">
        <v>56</v>
      </c>
      <c r="F27" s="11" t="s">
        <v>28</v>
      </c>
    </row>
    <row r="28" customFormat="false" ht="15" hidden="false" customHeight="false" outlineLevel="0" collapsed="false">
      <c r="A28" s="9" t="n">
        <v>27</v>
      </c>
      <c r="B28" s="10" t="s">
        <v>74</v>
      </c>
      <c r="C28" s="9" t="n">
        <v>430</v>
      </c>
      <c r="D28" s="9" t="s">
        <v>30</v>
      </c>
      <c r="E28" s="10" t="s">
        <v>75</v>
      </c>
      <c r="F28" s="11" t="s">
        <v>24</v>
      </c>
    </row>
    <row r="29" customFormat="false" ht="15" hidden="false" customHeight="false" outlineLevel="0" collapsed="false">
      <c r="A29" s="9" t="n">
        <v>28</v>
      </c>
      <c r="B29" s="10" t="s">
        <v>76</v>
      </c>
      <c r="C29" s="9" t="n">
        <v>520</v>
      </c>
      <c r="D29" s="9" t="s">
        <v>49</v>
      </c>
      <c r="E29" s="10" t="s">
        <v>77</v>
      </c>
      <c r="F29" s="11" t="s">
        <v>32</v>
      </c>
    </row>
    <row r="30" customFormat="false" ht="15" hidden="false" customHeight="false" outlineLevel="0" collapsed="false">
      <c r="A30" s="9" t="n">
        <v>29</v>
      </c>
      <c r="B30" s="10" t="s">
        <v>78</v>
      </c>
      <c r="C30" s="9" t="n">
        <v>290</v>
      </c>
      <c r="D30" s="9" t="s">
        <v>34</v>
      </c>
      <c r="E30" s="10" t="s">
        <v>79</v>
      </c>
      <c r="F30" s="11" t="s">
        <v>28</v>
      </c>
    </row>
    <row r="31" customFormat="false" ht="15" hidden="false" customHeight="false" outlineLevel="0" collapsed="false">
      <c r="A31" s="9" t="n">
        <v>30</v>
      </c>
      <c r="B31" s="10" t="s">
        <v>80</v>
      </c>
      <c r="C31" s="9" t="n">
        <v>340</v>
      </c>
      <c r="D31" s="9" t="s">
        <v>22</v>
      </c>
      <c r="E31" s="10" t="s">
        <v>81</v>
      </c>
      <c r="F31" s="11" t="s">
        <v>24</v>
      </c>
    </row>
    <row r="32" customFormat="false" ht="15" hidden="false" customHeight="false" outlineLevel="0" collapsed="false">
      <c r="A32" s="9" t="n">
        <v>31</v>
      </c>
      <c r="B32" s="10" t="s">
        <v>82</v>
      </c>
      <c r="C32" s="9" t="n">
        <v>280</v>
      </c>
      <c r="D32" s="9" t="s">
        <v>22</v>
      </c>
      <c r="E32" s="10" t="s">
        <v>63</v>
      </c>
      <c r="F32" s="11" t="s">
        <v>28</v>
      </c>
    </row>
    <row r="33" customFormat="false" ht="15" hidden="false" customHeight="false" outlineLevel="0" collapsed="false">
      <c r="A33" s="9" t="n">
        <v>32</v>
      </c>
      <c r="B33" s="10" t="s">
        <v>83</v>
      </c>
      <c r="C33" s="9"/>
      <c r="D33" s="9"/>
      <c r="E33" s="10"/>
      <c r="F33" s="11"/>
    </row>
    <row r="34" customFormat="false" ht="15" hidden="false" customHeight="false" outlineLevel="0" collapsed="false">
      <c r="A34" s="9" t="n">
        <v>33</v>
      </c>
      <c r="B34" s="10" t="s">
        <v>84</v>
      </c>
      <c r="C34" s="9"/>
      <c r="D34" s="9"/>
      <c r="E34" s="10"/>
      <c r="F34" s="11"/>
    </row>
    <row r="35" customFormat="false" ht="15" hidden="false" customHeight="false" outlineLevel="0" collapsed="false">
      <c r="A35" s="9" t="n">
        <v>34</v>
      </c>
      <c r="B35" s="10" t="s">
        <v>85</v>
      </c>
      <c r="C35" s="9"/>
      <c r="D35" s="9"/>
      <c r="E35" s="10"/>
      <c r="F35" s="11"/>
    </row>
    <row r="36" customFormat="false" ht="15" hidden="false" customHeight="false" outlineLevel="0" collapsed="false">
      <c r="A36" s="9" t="n">
        <v>35</v>
      </c>
      <c r="B36" s="10" t="s">
        <v>86</v>
      </c>
      <c r="C36" s="9"/>
      <c r="D36" s="9"/>
      <c r="E36" s="10"/>
      <c r="F36" s="11"/>
    </row>
    <row r="37" customFormat="false" ht="15" hidden="false" customHeight="false" outlineLevel="0" collapsed="false">
      <c r="A37" s="9" t="n">
        <v>36</v>
      </c>
      <c r="B37" s="10" t="s">
        <v>87</v>
      </c>
      <c r="C37" s="9"/>
      <c r="D37" s="9"/>
      <c r="E37" s="10"/>
      <c r="F37" s="11"/>
    </row>
    <row r="38" customFormat="false" ht="15" hidden="false" customHeight="false" outlineLevel="0" collapsed="false">
      <c r="A38" s="9" t="n">
        <v>37</v>
      </c>
      <c r="B38" s="10" t="s">
        <v>88</v>
      </c>
      <c r="C38" s="9"/>
      <c r="D38" s="9"/>
      <c r="E38" s="10"/>
      <c r="F38" s="11"/>
    </row>
    <row r="39" customFormat="false" ht="15" hidden="false" customHeight="false" outlineLevel="0" collapsed="false">
      <c r="A39" s="9" t="n">
        <v>38</v>
      </c>
      <c r="B39" s="10" t="s">
        <v>89</v>
      </c>
      <c r="C39" s="9"/>
      <c r="D39" s="9"/>
      <c r="E39" s="10"/>
      <c r="F39" s="11"/>
    </row>
    <row r="40" customFormat="false" ht="15" hidden="false" customHeight="false" outlineLevel="0" collapsed="false">
      <c r="A40" s="9" t="n">
        <v>39</v>
      </c>
      <c r="B40" s="10" t="s">
        <v>90</v>
      </c>
      <c r="C40" s="9"/>
      <c r="D40" s="9"/>
      <c r="E40" s="10"/>
      <c r="F40" s="11"/>
    </row>
    <row r="41" customFormat="false" ht="15" hidden="false" customHeight="false" outlineLevel="0" collapsed="false">
      <c r="A41" s="9" t="n">
        <v>40</v>
      </c>
      <c r="B41" s="10" t="s">
        <v>91</v>
      </c>
      <c r="C41" s="9"/>
      <c r="D41" s="9"/>
      <c r="E41" s="10"/>
      <c r="F41" s="11"/>
    </row>
    <row r="42" customFormat="false" ht="15" hidden="false" customHeight="false" outlineLevel="0" collapsed="false">
      <c r="A42" s="9" t="n">
        <v>41</v>
      </c>
      <c r="B42" s="10" t="s">
        <v>92</v>
      </c>
      <c r="C42" s="9"/>
      <c r="D42" s="9"/>
      <c r="E42" s="10"/>
      <c r="F42" s="11"/>
    </row>
    <row r="43" customFormat="false" ht="15" hidden="false" customHeight="false" outlineLevel="0" collapsed="false">
      <c r="A43" s="9" t="n">
        <v>42</v>
      </c>
      <c r="B43" s="10" t="s">
        <v>93</v>
      </c>
      <c r="C43" s="9"/>
      <c r="D43" s="9"/>
      <c r="E43" s="10"/>
      <c r="F43" s="11"/>
    </row>
    <row r="44" customFormat="false" ht="15" hidden="false" customHeight="false" outlineLevel="0" collapsed="false">
      <c r="A44" s="9" t="n">
        <v>43</v>
      </c>
      <c r="B44" s="10" t="s">
        <v>94</v>
      </c>
      <c r="C44" s="9" t="n">
        <v>0</v>
      </c>
      <c r="D44" s="9" t="s">
        <v>49</v>
      </c>
      <c r="E44" s="10" t="s">
        <v>95</v>
      </c>
      <c r="F44" s="11" t="s">
        <v>28</v>
      </c>
    </row>
    <row r="45" customFormat="false" ht="15" hidden="false" customHeight="false" outlineLevel="0" collapsed="false">
      <c r="A45" s="9" t="n">
        <v>44</v>
      </c>
      <c r="B45" s="10" t="s">
        <v>96</v>
      </c>
      <c r="C45" s="9" t="n">
        <v>790</v>
      </c>
      <c r="D45" s="9" t="s">
        <v>41</v>
      </c>
      <c r="E45" s="10" t="s">
        <v>97</v>
      </c>
      <c r="F45" s="11" t="s">
        <v>32</v>
      </c>
    </row>
    <row r="46" customFormat="false" ht="15" hidden="false" customHeight="false" outlineLevel="0" collapsed="false">
      <c r="A46" s="9" t="n">
        <v>45</v>
      </c>
      <c r="B46" s="10" t="s">
        <v>98</v>
      </c>
      <c r="C46" s="9"/>
      <c r="D46" s="9"/>
      <c r="E46" s="10"/>
      <c r="F46" s="11"/>
    </row>
    <row r="47" customFormat="false" ht="15" hidden="false" customHeight="false" outlineLevel="0" collapsed="false">
      <c r="A47" s="9" t="n">
        <v>46</v>
      </c>
      <c r="B47" s="10" t="s">
        <v>99</v>
      </c>
      <c r="C47" s="9"/>
      <c r="D47" s="9"/>
      <c r="E47" s="10"/>
      <c r="F47" s="11"/>
    </row>
    <row r="48" customFormat="false" ht="15" hidden="false" customHeight="false" outlineLevel="0" collapsed="false">
      <c r="A48" s="9" t="n">
        <v>47</v>
      </c>
      <c r="B48" s="10" t="s">
        <v>100</v>
      </c>
      <c r="C48" s="9"/>
      <c r="D48" s="9"/>
      <c r="E48" s="10"/>
      <c r="F48" s="11"/>
    </row>
    <row r="49" customFormat="false" ht="15" hidden="false" customHeight="false" outlineLevel="0" collapsed="false">
      <c r="A49" s="9" t="n">
        <v>48</v>
      </c>
      <c r="B49" s="10" t="s">
        <v>101</v>
      </c>
      <c r="C49" s="9" t="n">
        <v>450</v>
      </c>
      <c r="D49" s="9" t="s">
        <v>30</v>
      </c>
      <c r="E49" s="10" t="s">
        <v>56</v>
      </c>
      <c r="F49" s="11" t="s">
        <v>24</v>
      </c>
    </row>
    <row r="50" customFormat="false" ht="15" hidden="false" customHeight="false" outlineLevel="0" collapsed="false">
      <c r="A50" s="9" t="n">
        <v>49</v>
      </c>
      <c r="B50" s="10" t="s">
        <v>102</v>
      </c>
      <c r="C50" s="9" t="n">
        <v>0</v>
      </c>
      <c r="D50" s="9" t="s">
        <v>49</v>
      </c>
      <c r="E50" s="10" t="s">
        <v>95</v>
      </c>
      <c r="F50" s="11" t="s">
        <v>28</v>
      </c>
    </row>
    <row r="51" customFormat="false" ht="15" hidden="false" customHeight="false" outlineLevel="0" collapsed="false">
      <c r="A51" s="9" t="n">
        <v>50</v>
      </c>
      <c r="B51" s="10" t="s">
        <v>103</v>
      </c>
      <c r="C51" s="9" t="n">
        <v>510</v>
      </c>
      <c r="D51" s="9" t="s">
        <v>30</v>
      </c>
      <c r="E51" s="10" t="s">
        <v>104</v>
      </c>
      <c r="F51" s="11" t="s">
        <v>32</v>
      </c>
    </row>
    <row r="52" customFormat="false" ht="15" hidden="false" customHeight="false" outlineLevel="0" collapsed="false">
      <c r="A52" s="9" t="n">
        <v>51</v>
      </c>
      <c r="B52" s="10" t="s">
        <v>105</v>
      </c>
      <c r="C52" s="9"/>
      <c r="D52" s="9"/>
      <c r="E52" s="10"/>
      <c r="F52" s="11"/>
    </row>
    <row r="53" customFormat="false" ht="15" hidden="false" customHeight="false" outlineLevel="0" collapsed="false">
      <c r="A53" s="9" t="n">
        <v>52</v>
      </c>
      <c r="B53" s="10" t="s">
        <v>106</v>
      </c>
      <c r="C53" s="9" t="n">
        <v>680</v>
      </c>
      <c r="D53" s="9" t="s">
        <v>41</v>
      </c>
      <c r="E53" s="10" t="s">
        <v>107</v>
      </c>
      <c r="F53" s="11" t="s">
        <v>32</v>
      </c>
    </row>
    <row r="54" customFormat="false" ht="15" hidden="false" customHeight="false" outlineLevel="0" collapsed="false">
      <c r="A54" s="9" t="n">
        <v>53</v>
      </c>
      <c r="B54" s="10" t="s">
        <v>108</v>
      </c>
      <c r="C54" s="9"/>
      <c r="D54" s="9"/>
      <c r="E54" s="10"/>
      <c r="F54" s="11"/>
    </row>
    <row r="55" customFormat="false" ht="15" hidden="false" customHeight="false" outlineLevel="0" collapsed="false">
      <c r="A55" s="9" t="n">
        <v>54</v>
      </c>
      <c r="B55" s="10" t="s">
        <v>109</v>
      </c>
      <c r="C55" s="9" t="n">
        <v>540</v>
      </c>
      <c r="D55" s="9" t="s">
        <v>30</v>
      </c>
      <c r="E55" s="10" t="s">
        <v>56</v>
      </c>
      <c r="F55" s="11" t="s">
        <v>32</v>
      </c>
    </row>
    <row r="56" customFormat="false" ht="15" hidden="false" customHeight="false" outlineLevel="0" collapsed="false">
      <c r="A56" s="9" t="n">
        <v>55</v>
      </c>
      <c r="B56" s="10" t="s">
        <v>110</v>
      </c>
      <c r="C56" s="9"/>
      <c r="D56" s="9"/>
      <c r="E56" s="10"/>
      <c r="F56" s="11"/>
    </row>
    <row r="57" customFormat="false" ht="15" hidden="false" customHeight="false" outlineLevel="0" collapsed="false">
      <c r="A57" s="9" t="n">
        <v>56</v>
      </c>
      <c r="B57" s="10" t="s">
        <v>111</v>
      </c>
      <c r="C57" s="9"/>
      <c r="D57" s="9"/>
      <c r="E57" s="10"/>
      <c r="F57" s="11"/>
    </row>
    <row r="58" customFormat="false" ht="15" hidden="false" customHeight="false" outlineLevel="0" collapsed="false">
      <c r="A58" s="9" t="n">
        <v>57</v>
      </c>
      <c r="B58" s="10" t="s">
        <v>112</v>
      </c>
      <c r="C58" s="9"/>
      <c r="D58" s="9"/>
      <c r="E58" s="10"/>
      <c r="F58" s="11"/>
    </row>
    <row r="59" customFormat="false" ht="15" hidden="false" customHeight="false" outlineLevel="0" collapsed="false">
      <c r="A59" s="9" t="n">
        <v>58</v>
      </c>
      <c r="B59" s="10" t="s">
        <v>113</v>
      </c>
      <c r="C59" s="9"/>
      <c r="D59" s="9"/>
      <c r="E59" s="10"/>
      <c r="F59" s="11"/>
    </row>
    <row r="60" customFormat="false" ht="15" hidden="false" customHeight="false" outlineLevel="0" collapsed="false">
      <c r="A60" s="9" t="n">
        <v>59</v>
      </c>
      <c r="B60" s="10" t="s">
        <v>114</v>
      </c>
      <c r="C60" s="9"/>
      <c r="D60" s="9"/>
      <c r="E60" s="10"/>
      <c r="F60" s="11"/>
    </row>
    <row r="61" customFormat="false" ht="15" hidden="false" customHeight="false" outlineLevel="0" collapsed="false">
      <c r="A61" s="9" t="n">
        <v>60</v>
      </c>
      <c r="B61" s="10" t="s">
        <v>115</v>
      </c>
      <c r="C61" s="9"/>
      <c r="D61" s="9"/>
      <c r="E61" s="10"/>
      <c r="F61" s="11"/>
    </row>
    <row r="62" customFormat="false" ht="15" hidden="false" customHeight="false" outlineLevel="0" collapsed="false">
      <c r="A62" s="9" t="n">
        <v>61</v>
      </c>
      <c r="B62" s="10" t="s">
        <v>116</v>
      </c>
      <c r="C62" s="9"/>
      <c r="D62" s="9"/>
      <c r="E62" s="10"/>
      <c r="F62" s="11"/>
    </row>
    <row r="64" customFormat="false" ht="64.15" hidden="false" customHeight="false" outlineLevel="0" collapsed="false">
      <c r="B64" s="12" t="s">
        <v>117</v>
      </c>
    </row>
  </sheetData>
  <conditionalFormatting sqref="F2:F62">
    <cfRule type="expression" priority="2" aboveAverage="0" equalAverage="0" bottom="0" percent="0" rank="0" text="" dxfId="0">
      <formula>$F2="Red"</formula>
    </cfRule>
    <cfRule type="expression" priority="3" aboveAverage="0" equalAverage="0" bottom="0" percent="0" rank="0" text="" dxfId="1">
      <formula>$F2="Yellow"</formula>
    </cfRule>
    <cfRule type="expression" priority="4" aboveAverage="0" equalAverage="0" bottom="0" percent="0" rank="0" text="" dxfId="2">
      <formula>$F2="Green"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4" min="3" style="0" width="8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13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" hidden="false" customHeight="false" outlineLevel="0" collapsed="false">
      <c r="A2" s="14" t="s">
        <v>119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customFormat="false" ht="15" hidden="false" customHeight="false" outlineLevel="0" collapsed="false">
      <c r="A3" s="7" t="s">
        <v>16</v>
      </c>
      <c r="B3" s="7" t="s">
        <v>120</v>
      </c>
      <c r="C3" s="7" t="s">
        <v>121</v>
      </c>
      <c r="D3" s="7" t="s">
        <v>122</v>
      </c>
      <c r="E3" s="7" t="s">
        <v>123</v>
      </c>
      <c r="F3" s="7" t="s">
        <v>124</v>
      </c>
      <c r="G3" s="7" t="s">
        <v>125</v>
      </c>
      <c r="H3" s="7" t="s">
        <v>126</v>
      </c>
      <c r="I3" s="7" t="s">
        <v>127</v>
      </c>
      <c r="J3" s="7" t="s">
        <v>128</v>
      </c>
      <c r="K3" s="7" t="s">
        <v>129</v>
      </c>
      <c r="L3" s="7" t="s">
        <v>130</v>
      </c>
      <c r="M3" s="7" t="s">
        <v>131</v>
      </c>
      <c r="N3" s="7" t="s">
        <v>132</v>
      </c>
      <c r="O3" s="7" t="s">
        <v>133</v>
      </c>
    </row>
    <row r="4" customFormat="false" ht="10.5" hidden="false" customHeight="true" outlineLevel="0" collapsed="false">
      <c r="B4" s="15" t="s">
        <v>134</v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</row>
    <row r="5" customFormat="false" ht="15" hidden="false" customHeight="false" outlineLevel="0" collapsed="false">
      <c r="A5" s="10" t="s">
        <v>21</v>
      </c>
      <c r="B5" s="9" t="str">
        <f aca="false">IFERROR(INDEX(Roster!$F$2:$F$62,MATCH(A5,Roster!$B$2:$B$62,0))&amp;"","")</f>
        <v>Yellow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9" t="str">
        <f aca="false">IFERROR(LOOKUP(9.99E+307,C5:L5),"")</f>
        <v/>
      </c>
      <c r="N5" s="9" t="str">
        <f aca="false">IFERROR(ROUND(SLOPE(C5:L5,$C$4:$L$4),1),"")</f>
        <v/>
      </c>
      <c r="O5" s="9" t="str">
        <f aca="false">IF(M5="","",IF(M5&gt;=80,"On track",IF(M5&gt;=60,"Developing","Intervention")))</f>
        <v/>
      </c>
    </row>
    <row r="6" customFormat="false" ht="15" hidden="false" customHeight="false" outlineLevel="0" collapsed="false">
      <c r="A6" s="10" t="s">
        <v>25</v>
      </c>
      <c r="B6" s="9" t="str">
        <f aca="false">IFERROR(INDEX(Roster!$F$2:$F$62,MATCH(A6,Roster!$B$2:$B$62,0))&amp;"","")</f>
        <v>Red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9" t="str">
        <f aca="false">IFERROR(LOOKUP(9.99E+307,C6:L6),"")</f>
        <v/>
      </c>
      <c r="N6" s="9" t="str">
        <f aca="false">IFERROR(ROUND(SLOPE(C6:L6,$C$4:$L$4),1),"")</f>
        <v/>
      </c>
      <c r="O6" s="9" t="str">
        <f aca="false">IF(M6="","",IF(M6&gt;=80,"On track",IF(M6&gt;=60,"Developing","Intervention")))</f>
        <v/>
      </c>
    </row>
    <row r="7" customFormat="false" ht="15" hidden="false" customHeight="false" outlineLevel="0" collapsed="false">
      <c r="A7" s="10" t="s">
        <v>29</v>
      </c>
      <c r="B7" s="9" t="str">
        <f aca="false">IFERROR(INDEX(Roster!$F$2:$F$62,MATCH(A7,Roster!$B$2:$B$62,0))&amp;"","")</f>
        <v>Green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9" t="str">
        <f aca="false">IFERROR(LOOKUP(9.99E+307,C7:L7),"")</f>
        <v/>
      </c>
      <c r="N7" s="9" t="str">
        <f aca="false">IFERROR(ROUND(SLOPE(C7:L7,$C$4:$L$4),1),"")</f>
        <v/>
      </c>
      <c r="O7" s="9" t="str">
        <f aca="false">IF(M7="","",IF(M7&gt;=80,"On track",IF(M7&gt;=60,"Developing","Intervention")))</f>
        <v/>
      </c>
    </row>
    <row r="8" customFormat="false" ht="15" hidden="false" customHeight="false" outlineLevel="0" collapsed="false">
      <c r="A8" s="10" t="s">
        <v>33</v>
      </c>
      <c r="B8" s="9" t="str">
        <f aca="false">IFERROR(INDEX(Roster!$F$2:$F$62,MATCH(A8,Roster!$B$2:$B$62,0))&amp;"","")</f>
        <v>Red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9" t="str">
        <f aca="false">IFERROR(LOOKUP(9.99E+307,C8:L8),"")</f>
        <v/>
      </c>
      <c r="N8" s="9" t="str">
        <f aca="false">IFERROR(ROUND(SLOPE(C8:L8,$C$4:$L$4),1),"")</f>
        <v/>
      </c>
      <c r="O8" s="9" t="str">
        <f aca="false">IF(M8="","",IF(M8&gt;=80,"On track",IF(M8&gt;=60,"Developing","Intervention")))</f>
        <v/>
      </c>
    </row>
    <row r="9" customFormat="false" ht="15" hidden="false" customHeight="false" outlineLevel="0" collapsed="false">
      <c r="A9" s="10" t="s">
        <v>36</v>
      </c>
      <c r="B9" s="9" t="str">
        <f aca="false">IFERROR(INDEX(Roster!$F$2:$F$62,MATCH(A9,Roster!$B$2:$B$62,0))&amp;"","")</f>
        <v>Yellow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9" t="str">
        <f aca="false">IFERROR(LOOKUP(9.99E+307,C9:L9),"")</f>
        <v/>
      </c>
      <c r="N9" s="9" t="str">
        <f aca="false">IFERROR(ROUND(SLOPE(C9:L9,$C$4:$L$4),1),"")</f>
        <v/>
      </c>
      <c r="O9" s="9" t="str">
        <f aca="false">IF(M9="","",IF(M9&gt;=80,"On track",IF(M9&gt;=60,"Developing","Intervention")))</f>
        <v/>
      </c>
    </row>
    <row r="10" customFormat="false" ht="15" hidden="false" customHeight="false" outlineLevel="0" collapsed="false">
      <c r="A10" s="10" t="s">
        <v>37</v>
      </c>
      <c r="B10" s="9" t="str">
        <f aca="false">IFERROR(INDEX(Roster!$F$2:$F$62,MATCH(A10,Roster!$B$2:$B$62,0))&amp;"","")</f>
        <v>Yellow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9" t="str">
        <f aca="false">IFERROR(LOOKUP(9.99E+307,C10:L10),"")</f>
        <v/>
      </c>
      <c r="N10" s="9" t="str">
        <f aca="false">IFERROR(ROUND(SLOPE(C10:L10,$C$4:$L$4),1),"")</f>
        <v/>
      </c>
      <c r="O10" s="9" t="str">
        <f aca="false">IF(M10="","",IF(M10&gt;=80,"On track",IF(M10&gt;=60,"Developing","Intervention")))</f>
        <v/>
      </c>
    </row>
    <row r="11" customFormat="false" ht="15" hidden="false" customHeight="false" outlineLevel="0" collapsed="false">
      <c r="A11" s="10" t="s">
        <v>38</v>
      </c>
      <c r="B11" s="9" t="str">
        <f aca="false">IFERROR(INDEX(Roster!$F$2:$F$62,MATCH(A11,Roster!$B$2:$B$62,0))&amp;"","")</f>
        <v>Yellow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9" t="str">
        <f aca="false">IFERROR(LOOKUP(9.99E+307,C11:L11),"")</f>
        <v/>
      </c>
      <c r="N11" s="9" t="str">
        <f aca="false">IFERROR(ROUND(SLOPE(C11:L11,$C$4:$L$4),1),"")</f>
        <v/>
      </c>
      <c r="O11" s="9" t="str">
        <f aca="false">IF(M11="","",IF(M11&gt;=80,"On track",IF(M11&gt;=60,"Developing","Intervention")))</f>
        <v/>
      </c>
    </row>
    <row r="12" customFormat="false" ht="15" hidden="false" customHeight="false" outlineLevel="0" collapsed="false">
      <c r="A12" s="10" t="s">
        <v>40</v>
      </c>
      <c r="B12" s="9" t="str">
        <f aca="false">IFERROR(INDEX(Roster!$F$2:$F$62,MATCH(A12,Roster!$B$2:$B$62,0))&amp;"","")</f>
        <v>Green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9" t="str">
        <f aca="false">IFERROR(LOOKUP(9.99E+307,C12:L12),"")</f>
        <v/>
      </c>
      <c r="N12" s="9" t="str">
        <f aca="false">IFERROR(ROUND(SLOPE(C12:L12,$C$4:$L$4),1),"")</f>
        <v/>
      </c>
      <c r="O12" s="9" t="str">
        <f aca="false">IF(M12="","",IF(M12&gt;=80,"On track",IF(M12&gt;=60,"Developing","Intervention")))</f>
        <v/>
      </c>
    </row>
    <row r="13" customFormat="false" ht="15" hidden="false" customHeight="false" outlineLevel="0" collapsed="false">
      <c r="A13" s="10" t="s">
        <v>43</v>
      </c>
      <c r="B13" s="9" t="str">
        <f aca="false">IFERROR(INDEX(Roster!$F$2:$F$62,MATCH(A13,Roster!$B$2:$B$62,0))&amp;"","")</f>
        <v>Green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9" t="str">
        <f aca="false">IFERROR(LOOKUP(9.99E+307,C13:L13),"")</f>
        <v/>
      </c>
      <c r="N13" s="9" t="str">
        <f aca="false">IFERROR(ROUND(SLOPE(C13:L13,$C$4:$L$4),1),"")</f>
        <v/>
      </c>
      <c r="O13" s="9" t="str">
        <f aca="false">IF(M13="","",IF(M13&gt;=80,"On track",IF(M13&gt;=60,"Developing","Intervention")))</f>
        <v/>
      </c>
    </row>
    <row r="14" customFormat="false" ht="15" hidden="false" customHeight="false" outlineLevel="0" collapsed="false">
      <c r="A14" s="10" t="s">
        <v>46</v>
      </c>
      <c r="B14" s="9" t="str">
        <f aca="false">IFERROR(INDEX(Roster!$F$2:$F$62,MATCH(A14,Roster!$B$2:$B$62,0))&amp;"","")</f>
        <v>Red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9" t="str">
        <f aca="false">IFERROR(LOOKUP(9.99E+307,C14:L14),"")</f>
        <v/>
      </c>
      <c r="N14" s="9" t="str">
        <f aca="false">IFERROR(ROUND(SLOPE(C14:L14,$C$4:$L$4),1),"")</f>
        <v/>
      </c>
      <c r="O14" s="9" t="str">
        <f aca="false">IF(M14="","",IF(M14&gt;=80,"On track",IF(M14&gt;=60,"Developing","Intervention")))</f>
        <v/>
      </c>
    </row>
    <row r="15" customFormat="false" ht="15" hidden="false" customHeight="false" outlineLevel="0" collapsed="false">
      <c r="A15" s="10" t="s">
        <v>48</v>
      </c>
      <c r="B15" s="9" t="str">
        <f aca="false">IFERROR(INDEX(Roster!$F$2:$F$62,MATCH(A15,Roster!$B$2:$B$62,0))&amp;"","")</f>
        <v>Green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9" t="str">
        <f aca="false">IFERROR(LOOKUP(9.99E+307,C15:L15),"")</f>
        <v/>
      </c>
      <c r="N15" s="9" t="str">
        <f aca="false">IFERROR(ROUND(SLOPE(C15:L15,$C$4:$L$4),1),"")</f>
        <v/>
      </c>
      <c r="O15" s="9" t="str">
        <f aca="false">IF(M15="","",IF(M15&gt;=80,"On track",IF(M15&gt;=60,"Developing","Intervention")))</f>
        <v/>
      </c>
    </row>
    <row r="16" customFormat="false" ht="15" hidden="false" customHeight="false" outlineLevel="0" collapsed="false">
      <c r="A16" s="10" t="s">
        <v>51</v>
      </c>
      <c r="B16" s="9" t="str">
        <f aca="false">IFERROR(INDEX(Roster!$F$2:$F$62,MATCH(A16,Roster!$B$2:$B$62,0))&amp;"","")</f>
        <v>Yellow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9" t="str">
        <f aca="false">IFERROR(LOOKUP(9.99E+307,C16:L16),"")</f>
        <v/>
      </c>
      <c r="N16" s="9" t="str">
        <f aca="false">IFERROR(ROUND(SLOPE(C16:L16,$C$4:$L$4),1),"")</f>
        <v/>
      </c>
      <c r="O16" s="9" t="str">
        <f aca="false">IF(M16="","",IF(M16&gt;=80,"On track",IF(M16&gt;=60,"Developing","Intervention")))</f>
        <v/>
      </c>
    </row>
    <row r="17" customFormat="false" ht="15" hidden="false" customHeight="false" outlineLevel="0" collapsed="false">
      <c r="A17" s="10" t="s">
        <v>53</v>
      </c>
      <c r="B17" s="9" t="str">
        <f aca="false">IFERROR(INDEX(Roster!$F$2:$F$62,MATCH(A17,Roster!$B$2:$B$62,0))&amp;"","")</f>
        <v>Green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9" t="str">
        <f aca="false">IFERROR(LOOKUP(9.99E+307,C17:L17),"")</f>
        <v/>
      </c>
      <c r="N17" s="9" t="str">
        <f aca="false">IFERROR(ROUND(SLOPE(C17:L17,$C$4:$L$4),1),"")</f>
        <v/>
      </c>
      <c r="O17" s="9" t="str">
        <f aca="false">IF(M17="","",IF(M17&gt;=80,"On track",IF(M17&gt;=60,"Developing","Intervention")))</f>
        <v/>
      </c>
    </row>
    <row r="18" customFormat="false" ht="15" hidden="false" customHeight="false" outlineLevel="0" collapsed="false">
      <c r="A18" s="10" t="s">
        <v>55</v>
      </c>
      <c r="B18" s="9" t="str">
        <f aca="false">IFERROR(INDEX(Roster!$F$2:$F$62,MATCH(A18,Roster!$B$2:$B$62,0))&amp;"","")</f>
        <v>Yellow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9" t="str">
        <f aca="false">IFERROR(LOOKUP(9.99E+307,C18:L18),"")</f>
        <v/>
      </c>
      <c r="N18" s="9" t="str">
        <f aca="false">IFERROR(ROUND(SLOPE(C18:L18,$C$4:$L$4),1),"")</f>
        <v/>
      </c>
      <c r="O18" s="9" t="str">
        <f aca="false">IF(M18="","",IF(M18&gt;=80,"On track",IF(M18&gt;=60,"Developing","Intervention")))</f>
        <v/>
      </c>
    </row>
    <row r="19" customFormat="false" ht="15" hidden="false" customHeight="false" outlineLevel="0" collapsed="false">
      <c r="A19" s="10" t="s">
        <v>57</v>
      </c>
      <c r="B19" s="9" t="str">
        <f aca="false">IFERROR(INDEX(Roster!$F$2:$F$62,MATCH(A19,Roster!$B$2:$B$62,0))&amp;"","")</f>
        <v>Red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9" t="str">
        <f aca="false">IFERROR(LOOKUP(9.99E+307,C19:L19),"")</f>
        <v/>
      </c>
      <c r="N19" s="9" t="str">
        <f aca="false">IFERROR(ROUND(SLOPE(C19:L19,$C$4:$L$4),1),"")</f>
        <v/>
      </c>
      <c r="O19" s="9" t="str">
        <f aca="false">IF(M19="","",IF(M19&gt;=80,"On track",IF(M19&gt;=60,"Developing","Intervention")))</f>
        <v/>
      </c>
    </row>
    <row r="20" customFormat="false" ht="15" hidden="false" customHeight="false" outlineLevel="0" collapsed="false">
      <c r="A20" s="10" t="s">
        <v>59</v>
      </c>
      <c r="B20" s="9" t="str">
        <f aca="false">IFERROR(INDEX(Roster!$F$2:$F$62,MATCH(A20,Roster!$B$2:$B$62,0))&amp;"","")</f>
        <v>Green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9" t="str">
        <f aca="false">IFERROR(LOOKUP(9.99E+307,C20:L20),"")</f>
        <v/>
      </c>
      <c r="N20" s="9" t="str">
        <f aca="false">IFERROR(ROUND(SLOPE(C20:L20,$C$4:$L$4),1),"")</f>
        <v/>
      </c>
      <c r="O20" s="9" t="str">
        <f aca="false">IF(M20="","",IF(M20&gt;=80,"On track",IF(M20&gt;=60,"Developing","Intervention")))</f>
        <v/>
      </c>
    </row>
    <row r="21" customFormat="false" ht="15" hidden="false" customHeight="false" outlineLevel="0" collapsed="false">
      <c r="A21" s="10" t="s">
        <v>61</v>
      </c>
      <c r="B21" s="9" t="str">
        <f aca="false">IFERROR(INDEX(Roster!$F$2:$F$62,MATCH(A21,Roster!$B$2:$B$62,0))&amp;"","")</f>
        <v>Yellow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9" t="str">
        <f aca="false">IFERROR(LOOKUP(9.99E+307,C21:L21),"")</f>
        <v/>
      </c>
      <c r="N21" s="9" t="str">
        <f aca="false">IFERROR(ROUND(SLOPE(C21:L21,$C$4:$L$4),1),"")</f>
        <v/>
      </c>
      <c r="O21" s="9" t="str">
        <f aca="false">IF(M21="","",IF(M21&gt;=80,"On track",IF(M21&gt;=60,"Developing","Intervention")))</f>
        <v/>
      </c>
    </row>
    <row r="22" customFormat="false" ht="15" hidden="false" customHeight="false" outlineLevel="0" collapsed="false">
      <c r="A22" s="10" t="s">
        <v>62</v>
      </c>
      <c r="B22" s="9" t="str">
        <f aca="false">IFERROR(INDEX(Roster!$F$2:$F$62,MATCH(A22,Roster!$B$2:$B$62,0))&amp;"","")</f>
        <v>Red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9" t="str">
        <f aca="false">IFERROR(LOOKUP(9.99E+307,C22:L22),"")</f>
        <v/>
      </c>
      <c r="N22" s="9" t="str">
        <f aca="false">IFERROR(ROUND(SLOPE(C22:L22,$C$4:$L$4),1),"")</f>
        <v/>
      </c>
      <c r="O22" s="9" t="str">
        <f aca="false">IF(M22="","",IF(M22&gt;=80,"On track",IF(M22&gt;=60,"Developing","Intervention")))</f>
        <v/>
      </c>
    </row>
    <row r="23" customFormat="false" ht="15" hidden="false" customHeight="false" outlineLevel="0" collapsed="false">
      <c r="A23" s="10" t="s">
        <v>64</v>
      </c>
      <c r="B23" s="9" t="str">
        <f aca="false">IFERROR(INDEX(Roster!$F$2:$F$62,MATCH(A23,Roster!$B$2:$B$62,0))&amp;"","")</f>
        <v>Red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9" t="str">
        <f aca="false">IFERROR(LOOKUP(9.99E+307,C23:L23),"")</f>
        <v/>
      </c>
      <c r="N23" s="9" t="str">
        <f aca="false">IFERROR(ROUND(SLOPE(C23:L23,$C$4:$L$4),1),"")</f>
        <v/>
      </c>
      <c r="O23" s="9" t="str">
        <f aca="false">IF(M23="","",IF(M23&gt;=80,"On track",IF(M23&gt;=60,"Developing","Intervention")))</f>
        <v/>
      </c>
    </row>
    <row r="24" customFormat="false" ht="15" hidden="false" customHeight="false" outlineLevel="0" collapsed="false">
      <c r="A24" s="10" t="s">
        <v>66</v>
      </c>
      <c r="B24" s="9" t="str">
        <f aca="false">IFERROR(INDEX(Roster!$F$2:$F$62,MATCH(A24,Roster!$B$2:$B$62,0))&amp;"","")</f>
        <v>Red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9" t="str">
        <f aca="false">IFERROR(LOOKUP(9.99E+307,C24:L24),"")</f>
        <v/>
      </c>
      <c r="N24" s="9" t="str">
        <f aca="false">IFERROR(ROUND(SLOPE(C24:L24,$C$4:$L$4),1),"")</f>
        <v/>
      </c>
      <c r="O24" s="9" t="str">
        <f aca="false">IF(M24="","",IF(M24&gt;=80,"On track",IF(M24&gt;=60,"Developing","Intervention")))</f>
        <v/>
      </c>
    </row>
    <row r="25" customFormat="false" ht="15" hidden="false" customHeight="false" outlineLevel="0" collapsed="false">
      <c r="A25" s="10" t="s">
        <v>68</v>
      </c>
      <c r="B25" s="9" t="str">
        <f aca="false">IFERROR(INDEX(Roster!$F$2:$F$62,MATCH(A25,Roster!$B$2:$B$62,0))&amp;"","")</f>
        <v>Yellow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9" t="str">
        <f aca="false">IFERROR(LOOKUP(9.99E+307,C25:L25),"")</f>
        <v/>
      </c>
      <c r="N25" s="9" t="str">
        <f aca="false">IFERROR(ROUND(SLOPE(C25:L25,$C$4:$L$4),1),"")</f>
        <v/>
      </c>
      <c r="O25" s="9" t="str">
        <f aca="false">IF(M25="","",IF(M25&gt;=80,"On track",IF(M25&gt;=60,"Developing","Intervention")))</f>
        <v/>
      </c>
    </row>
    <row r="26" customFormat="false" ht="15" hidden="false" customHeight="false" outlineLevel="0" collapsed="false">
      <c r="A26" s="10" t="s">
        <v>69</v>
      </c>
      <c r="B26" s="9" t="str">
        <f aca="false">IFERROR(INDEX(Roster!$F$2:$F$62,MATCH(A26,Roster!$B$2:$B$62,0))&amp;"","")</f>
        <v>Green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9" t="str">
        <f aca="false">IFERROR(LOOKUP(9.99E+307,C26:L26),"")</f>
        <v/>
      </c>
      <c r="N26" s="9" t="str">
        <f aca="false">IFERROR(ROUND(SLOPE(C26:L26,$C$4:$L$4),1),"")</f>
        <v/>
      </c>
      <c r="O26" s="9" t="str">
        <f aca="false">IF(M26="","",IF(M26&gt;=80,"On track",IF(M26&gt;=60,"Developing","Intervention")))</f>
        <v/>
      </c>
    </row>
    <row r="27" customFormat="false" ht="15" hidden="false" customHeight="false" outlineLevel="0" collapsed="false">
      <c r="A27" s="10" t="s">
        <v>70</v>
      </c>
      <c r="B27" s="9" t="str">
        <f aca="false">IFERROR(INDEX(Roster!$F$2:$F$62,MATCH(A27,Roster!$B$2:$B$62,0))&amp;"","")</f>
        <v>Yellow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9" t="str">
        <f aca="false">IFERROR(LOOKUP(9.99E+307,C27:L27),"")</f>
        <v/>
      </c>
      <c r="N27" s="9" t="str">
        <f aca="false">IFERROR(ROUND(SLOPE(C27:L27,$C$4:$L$4),1),"")</f>
        <v/>
      </c>
      <c r="O27" s="9" t="str">
        <f aca="false">IF(M27="","",IF(M27&gt;=80,"On track",IF(M27&gt;=60,"Developing","Intervention")))</f>
        <v/>
      </c>
    </row>
    <row r="28" customFormat="false" ht="15" hidden="false" customHeight="false" outlineLevel="0" collapsed="false">
      <c r="A28" s="10" t="s">
        <v>71</v>
      </c>
      <c r="B28" s="9" t="str">
        <f aca="false">IFERROR(INDEX(Roster!$F$2:$F$62,MATCH(A28,Roster!$B$2:$B$62,0))&amp;"","")</f>
        <v>Red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9" t="str">
        <f aca="false">IFERROR(LOOKUP(9.99E+307,C28:L28),"")</f>
        <v/>
      </c>
      <c r="N28" s="9" t="str">
        <f aca="false">IFERROR(ROUND(SLOPE(C28:L28,$C$4:$L$4),1),"")</f>
        <v/>
      </c>
      <c r="O28" s="9" t="str">
        <f aca="false">IF(M28="","",IF(M28&gt;=80,"On track",IF(M28&gt;=60,"Developing","Intervention")))</f>
        <v/>
      </c>
    </row>
    <row r="29" customFormat="false" ht="15" hidden="false" customHeight="false" outlineLevel="0" collapsed="false">
      <c r="A29" s="10" t="s">
        <v>72</v>
      </c>
      <c r="B29" s="9" t="str">
        <f aca="false">IFERROR(INDEX(Roster!$F$2:$F$62,MATCH(A29,Roster!$B$2:$B$62,0))&amp;"","")</f>
        <v>Red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9" t="str">
        <f aca="false">IFERROR(LOOKUP(9.99E+307,C29:L29),"")</f>
        <v/>
      </c>
      <c r="N29" s="9" t="str">
        <f aca="false">IFERROR(ROUND(SLOPE(C29:L29,$C$4:$L$4),1),"")</f>
        <v/>
      </c>
      <c r="O29" s="9" t="str">
        <f aca="false">IF(M29="","",IF(M29&gt;=80,"On track",IF(M29&gt;=60,"Developing","Intervention")))</f>
        <v/>
      </c>
    </row>
    <row r="30" customFormat="false" ht="15" hidden="false" customHeight="false" outlineLevel="0" collapsed="false">
      <c r="A30" s="10" t="s">
        <v>73</v>
      </c>
      <c r="B30" s="9" t="str">
        <f aca="false">IFERROR(INDEX(Roster!$F$2:$F$62,MATCH(A30,Roster!$B$2:$B$62,0))&amp;"","")</f>
        <v>Red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9" t="str">
        <f aca="false">IFERROR(LOOKUP(9.99E+307,C30:L30),"")</f>
        <v/>
      </c>
      <c r="N30" s="9" t="str">
        <f aca="false">IFERROR(ROUND(SLOPE(C30:L30,$C$4:$L$4),1),"")</f>
        <v/>
      </c>
      <c r="O30" s="9" t="str">
        <f aca="false">IF(M30="","",IF(M30&gt;=80,"On track",IF(M30&gt;=60,"Developing","Intervention")))</f>
        <v/>
      </c>
    </row>
    <row r="31" customFormat="false" ht="15" hidden="false" customHeight="false" outlineLevel="0" collapsed="false">
      <c r="A31" s="10" t="s">
        <v>74</v>
      </c>
      <c r="B31" s="9" t="str">
        <f aca="false">IFERROR(INDEX(Roster!$F$2:$F$62,MATCH(A31,Roster!$B$2:$B$62,0))&amp;"","")</f>
        <v>Yellow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9" t="str">
        <f aca="false">IFERROR(LOOKUP(9.99E+307,C31:L31),"")</f>
        <v/>
      </c>
      <c r="N31" s="9" t="str">
        <f aca="false">IFERROR(ROUND(SLOPE(C31:L31,$C$4:$L$4),1),"")</f>
        <v/>
      </c>
      <c r="O31" s="9" t="str">
        <f aca="false">IF(M31="","",IF(M31&gt;=80,"On track",IF(M31&gt;=60,"Developing","Intervention")))</f>
        <v/>
      </c>
    </row>
    <row r="32" customFormat="false" ht="15" hidden="false" customHeight="false" outlineLevel="0" collapsed="false">
      <c r="A32" s="10" t="s">
        <v>76</v>
      </c>
      <c r="B32" s="9" t="str">
        <f aca="false">IFERROR(INDEX(Roster!$F$2:$F$62,MATCH(A32,Roster!$B$2:$B$62,0))&amp;"","")</f>
        <v>Green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9" t="str">
        <f aca="false">IFERROR(LOOKUP(9.99E+307,C32:L32),"")</f>
        <v/>
      </c>
      <c r="N32" s="9" t="str">
        <f aca="false">IFERROR(ROUND(SLOPE(C32:L32,$C$4:$L$4),1),"")</f>
        <v/>
      </c>
      <c r="O32" s="9" t="str">
        <f aca="false">IF(M32="","",IF(M32&gt;=80,"On track",IF(M32&gt;=60,"Developing","Intervention")))</f>
        <v/>
      </c>
    </row>
    <row r="33" customFormat="false" ht="15" hidden="false" customHeight="false" outlineLevel="0" collapsed="false">
      <c r="A33" s="10" t="s">
        <v>78</v>
      </c>
      <c r="B33" s="9" t="str">
        <f aca="false">IFERROR(INDEX(Roster!$F$2:$F$62,MATCH(A33,Roster!$B$2:$B$62,0))&amp;"","")</f>
        <v>Red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9" t="str">
        <f aca="false">IFERROR(LOOKUP(9.99E+307,C33:L33),"")</f>
        <v/>
      </c>
      <c r="N33" s="9" t="str">
        <f aca="false">IFERROR(ROUND(SLOPE(C33:L33,$C$4:$L$4),1),"")</f>
        <v/>
      </c>
      <c r="O33" s="9" t="str">
        <f aca="false">IF(M33="","",IF(M33&gt;=80,"On track",IF(M33&gt;=60,"Developing","Intervention")))</f>
        <v/>
      </c>
    </row>
    <row r="34" customFormat="false" ht="15" hidden="false" customHeight="false" outlineLevel="0" collapsed="false">
      <c r="A34" s="10" t="s">
        <v>80</v>
      </c>
      <c r="B34" s="9" t="str">
        <f aca="false">IFERROR(INDEX(Roster!$F$2:$F$62,MATCH(A34,Roster!$B$2:$B$62,0))&amp;"","")</f>
        <v>Yellow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9" t="str">
        <f aca="false">IFERROR(LOOKUP(9.99E+307,C34:L34),"")</f>
        <v/>
      </c>
      <c r="N34" s="9" t="str">
        <f aca="false">IFERROR(ROUND(SLOPE(C34:L34,$C$4:$L$4),1),"")</f>
        <v/>
      </c>
      <c r="O34" s="9" t="str">
        <f aca="false">IF(M34="","",IF(M34&gt;=80,"On track",IF(M34&gt;=60,"Developing","Intervention")))</f>
        <v/>
      </c>
    </row>
    <row r="35" customFormat="false" ht="15" hidden="false" customHeight="false" outlineLevel="0" collapsed="false">
      <c r="A35" s="10" t="s">
        <v>82</v>
      </c>
      <c r="B35" s="9" t="str">
        <f aca="false">IFERROR(INDEX(Roster!$F$2:$F$62,MATCH(A35,Roster!$B$2:$B$62,0))&amp;"","")</f>
        <v>Red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9" t="str">
        <f aca="false">IFERROR(LOOKUP(9.99E+307,C35:L35),"")</f>
        <v/>
      </c>
      <c r="N35" s="9" t="str">
        <f aca="false">IFERROR(ROUND(SLOPE(C35:L35,$C$4:$L$4),1),"")</f>
        <v/>
      </c>
      <c r="O35" s="9" t="str">
        <f aca="false">IF(M35="","",IF(M35&gt;=80,"On track",IF(M35&gt;=60,"Developing","Intervention")))</f>
        <v/>
      </c>
    </row>
    <row r="36" customFormat="false" ht="15" hidden="false" customHeight="false" outlineLevel="0" collapsed="false">
      <c r="A36" s="10" t="s">
        <v>83</v>
      </c>
      <c r="B36" s="9" t="str">
        <f aca="false">IFERROR(INDEX(Roster!$F$2:$F$62,MATCH(A36,Roster!$B$2:$B$62,0))&amp;"","")</f>
        <v/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9" t="str">
        <f aca="false">IFERROR(LOOKUP(9.99E+307,C36:L36),"")</f>
        <v/>
      </c>
      <c r="N36" s="9" t="str">
        <f aca="false">IFERROR(ROUND(SLOPE(C36:L36,$C$4:$L$4),1),"")</f>
        <v/>
      </c>
      <c r="O36" s="9" t="str">
        <f aca="false">IF(M36="","",IF(M36&gt;=80,"On track",IF(M36&gt;=60,"Developing","Intervention")))</f>
        <v/>
      </c>
    </row>
    <row r="37" customFormat="false" ht="15" hidden="false" customHeight="false" outlineLevel="0" collapsed="false">
      <c r="A37" s="10" t="s">
        <v>84</v>
      </c>
      <c r="B37" s="9" t="str">
        <f aca="false">IFERROR(INDEX(Roster!$F$2:$F$62,MATCH(A37,Roster!$B$2:$B$62,0))&amp;"","")</f>
        <v/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9" t="str">
        <f aca="false">IFERROR(LOOKUP(9.99E+307,C37:L37),"")</f>
        <v/>
      </c>
      <c r="N37" s="9" t="str">
        <f aca="false">IFERROR(ROUND(SLOPE(C37:L37,$C$4:$L$4),1),"")</f>
        <v/>
      </c>
      <c r="O37" s="9" t="str">
        <f aca="false">IF(M37="","",IF(M37&gt;=80,"On track",IF(M37&gt;=60,"Developing","Intervention")))</f>
        <v/>
      </c>
    </row>
    <row r="38" customFormat="false" ht="15" hidden="false" customHeight="false" outlineLevel="0" collapsed="false">
      <c r="A38" s="10" t="s">
        <v>85</v>
      </c>
      <c r="B38" s="9" t="str">
        <f aca="false">IFERROR(INDEX(Roster!$F$2:$F$62,MATCH(A38,Roster!$B$2:$B$62,0))&amp;"","")</f>
        <v/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9" t="str">
        <f aca="false">IFERROR(LOOKUP(9.99E+307,C38:L38),"")</f>
        <v/>
      </c>
      <c r="N38" s="9" t="str">
        <f aca="false">IFERROR(ROUND(SLOPE(C38:L38,$C$4:$L$4),1),"")</f>
        <v/>
      </c>
      <c r="O38" s="9" t="str">
        <f aca="false">IF(M38="","",IF(M38&gt;=80,"On track",IF(M38&gt;=60,"Developing","Intervention")))</f>
        <v/>
      </c>
    </row>
    <row r="39" customFormat="false" ht="15" hidden="false" customHeight="false" outlineLevel="0" collapsed="false">
      <c r="A39" s="10" t="s">
        <v>86</v>
      </c>
      <c r="B39" s="9" t="str">
        <f aca="false">IFERROR(INDEX(Roster!$F$2:$F$62,MATCH(A39,Roster!$B$2:$B$62,0))&amp;"","")</f>
        <v/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9" t="str">
        <f aca="false">IFERROR(LOOKUP(9.99E+307,C39:L39),"")</f>
        <v/>
      </c>
      <c r="N39" s="9" t="str">
        <f aca="false">IFERROR(ROUND(SLOPE(C39:L39,$C$4:$L$4),1),"")</f>
        <v/>
      </c>
      <c r="O39" s="9" t="str">
        <f aca="false">IF(M39="","",IF(M39&gt;=80,"On track",IF(M39&gt;=60,"Developing","Intervention")))</f>
        <v/>
      </c>
    </row>
    <row r="40" customFormat="false" ht="15" hidden="false" customHeight="false" outlineLevel="0" collapsed="false">
      <c r="A40" s="10" t="s">
        <v>87</v>
      </c>
      <c r="B40" s="9" t="str">
        <f aca="false">IFERROR(INDEX(Roster!$F$2:$F$62,MATCH(A40,Roster!$B$2:$B$62,0))&amp;"","")</f>
        <v/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9" t="str">
        <f aca="false">IFERROR(LOOKUP(9.99E+307,C40:L40),"")</f>
        <v/>
      </c>
      <c r="N40" s="9" t="str">
        <f aca="false">IFERROR(ROUND(SLOPE(C40:L40,$C$4:$L$4),1),"")</f>
        <v/>
      </c>
      <c r="O40" s="9" t="str">
        <f aca="false">IF(M40="","",IF(M40&gt;=80,"On track",IF(M40&gt;=60,"Developing","Intervention")))</f>
        <v/>
      </c>
    </row>
    <row r="41" customFormat="false" ht="15" hidden="false" customHeight="false" outlineLevel="0" collapsed="false">
      <c r="A41" s="10" t="s">
        <v>88</v>
      </c>
      <c r="B41" s="9" t="str">
        <f aca="false">IFERROR(INDEX(Roster!$F$2:$F$62,MATCH(A41,Roster!$B$2:$B$62,0))&amp;"","")</f>
        <v/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9" t="str">
        <f aca="false">IFERROR(LOOKUP(9.99E+307,C41:L41),"")</f>
        <v/>
      </c>
      <c r="N41" s="9" t="str">
        <f aca="false">IFERROR(ROUND(SLOPE(C41:L41,$C$4:$L$4),1),"")</f>
        <v/>
      </c>
      <c r="O41" s="9" t="str">
        <f aca="false">IF(M41="","",IF(M41&gt;=80,"On track",IF(M41&gt;=60,"Developing","Intervention")))</f>
        <v/>
      </c>
    </row>
    <row r="42" customFormat="false" ht="15" hidden="false" customHeight="false" outlineLevel="0" collapsed="false">
      <c r="A42" s="10" t="s">
        <v>89</v>
      </c>
      <c r="B42" s="9" t="str">
        <f aca="false">IFERROR(INDEX(Roster!$F$2:$F$62,MATCH(A42,Roster!$B$2:$B$62,0))&amp;"","")</f>
        <v/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9" t="str">
        <f aca="false">IFERROR(LOOKUP(9.99E+307,C42:L42),"")</f>
        <v/>
      </c>
      <c r="N42" s="9" t="str">
        <f aca="false">IFERROR(ROUND(SLOPE(C42:L42,$C$4:$L$4),1),"")</f>
        <v/>
      </c>
      <c r="O42" s="9" t="str">
        <f aca="false">IF(M42="","",IF(M42&gt;=80,"On track",IF(M42&gt;=60,"Developing","Intervention")))</f>
        <v/>
      </c>
    </row>
    <row r="43" customFormat="false" ht="15" hidden="false" customHeight="false" outlineLevel="0" collapsed="false">
      <c r="A43" s="10" t="s">
        <v>90</v>
      </c>
      <c r="B43" s="9" t="str">
        <f aca="false">IFERROR(INDEX(Roster!$F$2:$F$62,MATCH(A43,Roster!$B$2:$B$62,0))&amp;"","")</f>
        <v/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9" t="str">
        <f aca="false">IFERROR(LOOKUP(9.99E+307,C43:L43),"")</f>
        <v/>
      </c>
      <c r="N43" s="9" t="str">
        <f aca="false">IFERROR(ROUND(SLOPE(C43:L43,$C$4:$L$4),1),"")</f>
        <v/>
      </c>
      <c r="O43" s="9" t="str">
        <f aca="false">IF(M43="","",IF(M43&gt;=80,"On track",IF(M43&gt;=60,"Developing","Intervention")))</f>
        <v/>
      </c>
    </row>
    <row r="44" customFormat="false" ht="15" hidden="false" customHeight="false" outlineLevel="0" collapsed="false">
      <c r="A44" s="10" t="s">
        <v>91</v>
      </c>
      <c r="B44" s="9" t="str">
        <f aca="false">IFERROR(INDEX(Roster!$F$2:$F$62,MATCH(A44,Roster!$B$2:$B$62,0))&amp;"","")</f>
        <v/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9" t="str">
        <f aca="false">IFERROR(LOOKUP(9.99E+307,C44:L44),"")</f>
        <v/>
      </c>
      <c r="N44" s="9" t="str">
        <f aca="false">IFERROR(ROUND(SLOPE(C44:L44,$C$4:$L$4),1),"")</f>
        <v/>
      </c>
      <c r="O44" s="9" t="str">
        <f aca="false">IF(M44="","",IF(M44&gt;=80,"On track",IF(M44&gt;=60,"Developing","Intervention")))</f>
        <v/>
      </c>
    </row>
    <row r="45" customFormat="false" ht="15" hidden="false" customHeight="false" outlineLevel="0" collapsed="false">
      <c r="A45" s="10" t="s">
        <v>92</v>
      </c>
      <c r="B45" s="9" t="str">
        <f aca="false">IFERROR(INDEX(Roster!$F$2:$F$62,MATCH(A45,Roster!$B$2:$B$62,0))&amp;"","")</f>
        <v/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9" t="str">
        <f aca="false">IFERROR(LOOKUP(9.99E+307,C45:L45),"")</f>
        <v/>
      </c>
      <c r="N45" s="9" t="str">
        <f aca="false">IFERROR(ROUND(SLOPE(C45:L45,$C$4:$L$4),1),"")</f>
        <v/>
      </c>
      <c r="O45" s="9" t="str">
        <f aca="false">IF(M45="","",IF(M45&gt;=80,"On track",IF(M45&gt;=60,"Developing","Intervention")))</f>
        <v/>
      </c>
    </row>
    <row r="46" customFormat="false" ht="15" hidden="false" customHeight="false" outlineLevel="0" collapsed="false">
      <c r="A46" s="10" t="s">
        <v>93</v>
      </c>
      <c r="B46" s="9" t="str">
        <f aca="false">IFERROR(INDEX(Roster!$F$2:$F$62,MATCH(A46,Roster!$B$2:$B$62,0))&amp;"","")</f>
        <v/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9" t="str">
        <f aca="false">IFERROR(LOOKUP(9.99E+307,C46:L46),"")</f>
        <v/>
      </c>
      <c r="N46" s="9" t="str">
        <f aca="false">IFERROR(ROUND(SLOPE(C46:L46,$C$4:$L$4),1),"")</f>
        <v/>
      </c>
      <c r="O46" s="9" t="str">
        <f aca="false">IF(M46="","",IF(M46&gt;=80,"On track",IF(M46&gt;=60,"Developing","Intervention")))</f>
        <v/>
      </c>
    </row>
    <row r="47" customFormat="false" ht="15" hidden="false" customHeight="false" outlineLevel="0" collapsed="false">
      <c r="A47" s="10" t="s">
        <v>94</v>
      </c>
      <c r="B47" s="9" t="str">
        <f aca="false">IFERROR(INDEX(Roster!$F$2:$F$62,MATCH(A47,Roster!$B$2:$B$62,0))&amp;"","")</f>
        <v>Red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9" t="str">
        <f aca="false">IFERROR(LOOKUP(9.99E+307,C47:L47),"")</f>
        <v/>
      </c>
      <c r="N47" s="9" t="str">
        <f aca="false">IFERROR(ROUND(SLOPE(C47:L47,$C$4:$L$4),1),"")</f>
        <v/>
      </c>
      <c r="O47" s="9" t="str">
        <f aca="false">IF(M47="","",IF(M47&gt;=80,"On track",IF(M47&gt;=60,"Developing","Intervention")))</f>
        <v/>
      </c>
    </row>
    <row r="48" customFormat="false" ht="15" hidden="false" customHeight="false" outlineLevel="0" collapsed="false">
      <c r="A48" s="10" t="s">
        <v>96</v>
      </c>
      <c r="B48" s="9" t="str">
        <f aca="false">IFERROR(INDEX(Roster!$F$2:$F$62,MATCH(A48,Roster!$B$2:$B$62,0))&amp;"","")</f>
        <v>Green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9" t="str">
        <f aca="false">IFERROR(LOOKUP(9.99E+307,C48:L48),"")</f>
        <v/>
      </c>
      <c r="N48" s="9" t="str">
        <f aca="false">IFERROR(ROUND(SLOPE(C48:L48,$C$4:$L$4),1),"")</f>
        <v/>
      </c>
      <c r="O48" s="9" t="str">
        <f aca="false">IF(M48="","",IF(M48&gt;=80,"On track",IF(M48&gt;=60,"Developing","Intervention")))</f>
        <v/>
      </c>
    </row>
    <row r="49" customFormat="false" ht="15" hidden="false" customHeight="false" outlineLevel="0" collapsed="false">
      <c r="A49" s="10" t="s">
        <v>98</v>
      </c>
      <c r="B49" s="9" t="str">
        <f aca="false">IFERROR(INDEX(Roster!$F$2:$F$62,MATCH(A49,Roster!$B$2:$B$62,0))&amp;"","")</f>
        <v/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9" t="str">
        <f aca="false">IFERROR(LOOKUP(9.99E+307,C49:L49),"")</f>
        <v/>
      </c>
      <c r="N49" s="9" t="str">
        <f aca="false">IFERROR(ROUND(SLOPE(C49:L49,$C$4:$L$4),1),"")</f>
        <v/>
      </c>
      <c r="O49" s="9" t="str">
        <f aca="false">IF(M49="","",IF(M49&gt;=80,"On track",IF(M49&gt;=60,"Developing","Intervention")))</f>
        <v/>
      </c>
    </row>
    <row r="50" customFormat="false" ht="15" hidden="false" customHeight="false" outlineLevel="0" collapsed="false">
      <c r="A50" s="10" t="s">
        <v>99</v>
      </c>
      <c r="B50" s="9" t="str">
        <f aca="false">IFERROR(INDEX(Roster!$F$2:$F$62,MATCH(A50,Roster!$B$2:$B$62,0))&amp;"","")</f>
        <v/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9" t="str">
        <f aca="false">IFERROR(LOOKUP(9.99E+307,C50:L50),"")</f>
        <v/>
      </c>
      <c r="N50" s="9" t="str">
        <f aca="false">IFERROR(ROUND(SLOPE(C50:L50,$C$4:$L$4),1),"")</f>
        <v/>
      </c>
      <c r="O50" s="9" t="str">
        <f aca="false">IF(M50="","",IF(M50&gt;=80,"On track",IF(M50&gt;=60,"Developing","Intervention")))</f>
        <v/>
      </c>
    </row>
    <row r="51" customFormat="false" ht="15" hidden="false" customHeight="false" outlineLevel="0" collapsed="false">
      <c r="A51" s="10" t="s">
        <v>100</v>
      </c>
      <c r="B51" s="9" t="str">
        <f aca="false">IFERROR(INDEX(Roster!$F$2:$F$62,MATCH(A51,Roster!$B$2:$B$62,0))&amp;"","")</f>
        <v/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9" t="str">
        <f aca="false">IFERROR(LOOKUP(9.99E+307,C51:L51),"")</f>
        <v/>
      </c>
      <c r="N51" s="9" t="str">
        <f aca="false">IFERROR(ROUND(SLOPE(C51:L51,$C$4:$L$4),1),"")</f>
        <v/>
      </c>
      <c r="O51" s="9" t="str">
        <f aca="false">IF(M51="","",IF(M51&gt;=80,"On track",IF(M51&gt;=60,"Developing","Intervention")))</f>
        <v/>
      </c>
    </row>
    <row r="52" customFormat="false" ht="15" hidden="false" customHeight="false" outlineLevel="0" collapsed="false">
      <c r="A52" s="10" t="s">
        <v>101</v>
      </c>
      <c r="B52" s="9" t="str">
        <f aca="false">IFERROR(INDEX(Roster!$F$2:$F$62,MATCH(A52,Roster!$B$2:$B$62,0))&amp;"","")</f>
        <v>Yellow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9" t="str">
        <f aca="false">IFERROR(LOOKUP(9.99E+307,C52:L52),"")</f>
        <v/>
      </c>
      <c r="N52" s="9" t="str">
        <f aca="false">IFERROR(ROUND(SLOPE(C52:L52,$C$4:$L$4),1),"")</f>
        <v/>
      </c>
      <c r="O52" s="9" t="str">
        <f aca="false">IF(M52="","",IF(M52&gt;=80,"On track",IF(M52&gt;=60,"Developing","Intervention")))</f>
        <v/>
      </c>
    </row>
    <row r="53" customFormat="false" ht="15" hidden="false" customHeight="false" outlineLevel="0" collapsed="false">
      <c r="A53" s="10" t="s">
        <v>102</v>
      </c>
      <c r="B53" s="9" t="str">
        <f aca="false">IFERROR(INDEX(Roster!$F$2:$F$62,MATCH(A53,Roster!$B$2:$B$62,0))&amp;"","")</f>
        <v>Red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9" t="str">
        <f aca="false">IFERROR(LOOKUP(9.99E+307,C53:L53),"")</f>
        <v/>
      </c>
      <c r="N53" s="9" t="str">
        <f aca="false">IFERROR(ROUND(SLOPE(C53:L53,$C$4:$L$4),1),"")</f>
        <v/>
      </c>
      <c r="O53" s="9" t="str">
        <f aca="false">IF(M53="","",IF(M53&gt;=80,"On track",IF(M53&gt;=60,"Developing","Intervention")))</f>
        <v/>
      </c>
    </row>
    <row r="54" customFormat="false" ht="15" hidden="false" customHeight="false" outlineLevel="0" collapsed="false">
      <c r="A54" s="10" t="s">
        <v>103</v>
      </c>
      <c r="B54" s="9" t="str">
        <f aca="false">IFERROR(INDEX(Roster!$F$2:$F$62,MATCH(A54,Roster!$B$2:$B$62,0))&amp;"","")</f>
        <v>Green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9" t="str">
        <f aca="false">IFERROR(LOOKUP(9.99E+307,C54:L54),"")</f>
        <v/>
      </c>
      <c r="N54" s="9" t="str">
        <f aca="false">IFERROR(ROUND(SLOPE(C54:L54,$C$4:$L$4),1),"")</f>
        <v/>
      </c>
      <c r="O54" s="9" t="str">
        <f aca="false">IF(M54="","",IF(M54&gt;=80,"On track",IF(M54&gt;=60,"Developing","Intervention")))</f>
        <v/>
      </c>
    </row>
    <row r="55" customFormat="false" ht="15" hidden="false" customHeight="false" outlineLevel="0" collapsed="false">
      <c r="A55" s="10" t="s">
        <v>105</v>
      </c>
      <c r="B55" s="9" t="str">
        <f aca="false">IFERROR(INDEX(Roster!$F$2:$F$62,MATCH(A55,Roster!$B$2:$B$62,0))&amp;"","")</f>
        <v/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9" t="str">
        <f aca="false">IFERROR(LOOKUP(9.99E+307,C55:L55),"")</f>
        <v/>
      </c>
      <c r="N55" s="9" t="str">
        <f aca="false">IFERROR(ROUND(SLOPE(C55:L55,$C$4:$L$4),1),"")</f>
        <v/>
      </c>
      <c r="O55" s="9" t="str">
        <f aca="false">IF(M55="","",IF(M55&gt;=80,"On track",IF(M55&gt;=60,"Developing","Intervention")))</f>
        <v/>
      </c>
    </row>
    <row r="56" customFormat="false" ht="15" hidden="false" customHeight="false" outlineLevel="0" collapsed="false">
      <c r="A56" s="10" t="s">
        <v>106</v>
      </c>
      <c r="B56" s="9" t="str">
        <f aca="false">IFERROR(INDEX(Roster!$F$2:$F$62,MATCH(A56,Roster!$B$2:$B$62,0))&amp;"","")</f>
        <v>Green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9" t="str">
        <f aca="false">IFERROR(LOOKUP(9.99E+307,C56:L56),"")</f>
        <v/>
      </c>
      <c r="N56" s="9" t="str">
        <f aca="false">IFERROR(ROUND(SLOPE(C56:L56,$C$4:$L$4),1),"")</f>
        <v/>
      </c>
      <c r="O56" s="9" t="str">
        <f aca="false">IF(M56="","",IF(M56&gt;=80,"On track",IF(M56&gt;=60,"Developing","Intervention")))</f>
        <v/>
      </c>
    </row>
    <row r="57" customFormat="false" ht="15" hidden="false" customHeight="false" outlineLevel="0" collapsed="false">
      <c r="A57" s="10" t="s">
        <v>108</v>
      </c>
      <c r="B57" s="9" t="str">
        <f aca="false">IFERROR(INDEX(Roster!$F$2:$F$62,MATCH(A57,Roster!$B$2:$B$62,0))&amp;"","")</f>
        <v/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9" t="str">
        <f aca="false">IFERROR(LOOKUP(9.99E+307,C57:L57),"")</f>
        <v/>
      </c>
      <c r="N57" s="9" t="str">
        <f aca="false">IFERROR(ROUND(SLOPE(C57:L57,$C$4:$L$4),1),"")</f>
        <v/>
      </c>
      <c r="O57" s="9" t="str">
        <f aca="false">IF(M57="","",IF(M57&gt;=80,"On track",IF(M57&gt;=60,"Developing","Intervention")))</f>
        <v/>
      </c>
    </row>
    <row r="58" customFormat="false" ht="15" hidden="false" customHeight="false" outlineLevel="0" collapsed="false">
      <c r="A58" s="10" t="s">
        <v>109</v>
      </c>
      <c r="B58" s="9" t="str">
        <f aca="false">IFERROR(INDEX(Roster!$F$2:$F$62,MATCH(A58,Roster!$B$2:$B$62,0))&amp;"","")</f>
        <v>Green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9" t="str">
        <f aca="false">IFERROR(LOOKUP(9.99E+307,C58:L58),"")</f>
        <v/>
      </c>
      <c r="N58" s="9" t="str">
        <f aca="false">IFERROR(ROUND(SLOPE(C58:L58,$C$4:$L$4),1),"")</f>
        <v/>
      </c>
      <c r="O58" s="9" t="str">
        <f aca="false">IF(M58="","",IF(M58&gt;=80,"On track",IF(M58&gt;=60,"Developing","Intervention")))</f>
        <v/>
      </c>
    </row>
    <row r="59" customFormat="false" ht="15" hidden="false" customHeight="false" outlineLevel="0" collapsed="false">
      <c r="A59" s="10" t="s">
        <v>110</v>
      </c>
      <c r="B59" s="9" t="str">
        <f aca="false">IFERROR(INDEX(Roster!$F$2:$F$62,MATCH(A59,Roster!$B$2:$B$62,0))&amp;"","")</f>
        <v/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9" t="str">
        <f aca="false">IFERROR(LOOKUP(9.99E+307,C59:L59),"")</f>
        <v/>
      </c>
      <c r="N59" s="9" t="str">
        <f aca="false">IFERROR(ROUND(SLOPE(C59:L59,$C$4:$L$4),1),"")</f>
        <v/>
      </c>
      <c r="O59" s="9" t="str">
        <f aca="false">IF(M59="","",IF(M59&gt;=80,"On track",IF(M59&gt;=60,"Developing","Intervention")))</f>
        <v/>
      </c>
    </row>
    <row r="60" customFormat="false" ht="15" hidden="false" customHeight="false" outlineLevel="0" collapsed="false">
      <c r="A60" s="10" t="s">
        <v>111</v>
      </c>
      <c r="B60" s="9" t="str">
        <f aca="false">IFERROR(INDEX(Roster!$F$2:$F$62,MATCH(A60,Roster!$B$2:$B$62,0))&amp;"","")</f>
        <v/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9" t="str">
        <f aca="false">IFERROR(LOOKUP(9.99E+307,C60:L60),"")</f>
        <v/>
      </c>
      <c r="N60" s="9" t="str">
        <f aca="false">IFERROR(ROUND(SLOPE(C60:L60,$C$4:$L$4),1),"")</f>
        <v/>
      </c>
      <c r="O60" s="9" t="str">
        <f aca="false">IF(M60="","",IF(M60&gt;=80,"On track",IF(M60&gt;=60,"Developing","Intervention")))</f>
        <v/>
      </c>
    </row>
    <row r="61" customFormat="false" ht="15" hidden="false" customHeight="false" outlineLevel="0" collapsed="false">
      <c r="A61" s="10" t="s">
        <v>112</v>
      </c>
      <c r="B61" s="9" t="str">
        <f aca="false">IFERROR(INDEX(Roster!$F$2:$F$62,MATCH(A61,Roster!$B$2:$B$62,0))&amp;"","")</f>
        <v/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9" t="str">
        <f aca="false">IFERROR(LOOKUP(9.99E+307,C61:L61),"")</f>
        <v/>
      </c>
      <c r="N61" s="9" t="str">
        <f aca="false">IFERROR(ROUND(SLOPE(C61:L61,$C$4:$L$4),1),"")</f>
        <v/>
      </c>
      <c r="O61" s="9" t="str">
        <f aca="false">IF(M61="","",IF(M61&gt;=80,"On track",IF(M61&gt;=60,"Developing","Intervention")))</f>
        <v/>
      </c>
    </row>
    <row r="62" customFormat="false" ht="15" hidden="false" customHeight="false" outlineLevel="0" collapsed="false">
      <c r="A62" s="10" t="s">
        <v>113</v>
      </c>
      <c r="B62" s="9" t="str">
        <f aca="false">IFERROR(INDEX(Roster!$F$2:$F$62,MATCH(A62,Roster!$B$2:$B$62,0))&amp;"","")</f>
        <v/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9" t="str">
        <f aca="false">IFERROR(LOOKUP(9.99E+307,C62:L62),"")</f>
        <v/>
      </c>
      <c r="N62" s="9" t="str">
        <f aca="false">IFERROR(ROUND(SLOPE(C62:L62,$C$4:$L$4),1),"")</f>
        <v/>
      </c>
      <c r="O62" s="9" t="str">
        <f aca="false">IF(M62="","",IF(M62&gt;=80,"On track",IF(M62&gt;=60,"Developing","Intervention")))</f>
        <v/>
      </c>
    </row>
    <row r="63" customFormat="false" ht="15" hidden="false" customHeight="false" outlineLevel="0" collapsed="false">
      <c r="A63" s="10" t="s">
        <v>114</v>
      </c>
      <c r="B63" s="9" t="str">
        <f aca="false">IFERROR(INDEX(Roster!$F$2:$F$62,MATCH(A63,Roster!$B$2:$B$62,0))&amp;"","")</f>
        <v/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9" t="str">
        <f aca="false">IFERROR(LOOKUP(9.99E+307,C63:L63),"")</f>
        <v/>
      </c>
      <c r="N63" s="9" t="str">
        <f aca="false">IFERROR(ROUND(SLOPE(C63:L63,$C$4:$L$4),1),"")</f>
        <v/>
      </c>
      <c r="O63" s="9" t="str">
        <f aca="false">IF(M63="","",IF(M63&gt;=80,"On track",IF(M63&gt;=60,"Developing","Intervention")))</f>
        <v/>
      </c>
    </row>
    <row r="64" customFormat="false" ht="15" hidden="false" customHeight="false" outlineLevel="0" collapsed="false">
      <c r="A64" s="10" t="s">
        <v>115</v>
      </c>
      <c r="B64" s="9" t="str">
        <f aca="false">IFERROR(INDEX(Roster!$F$2:$F$62,MATCH(A64,Roster!$B$2:$B$62,0))&amp;"","")</f>
        <v/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9" t="str">
        <f aca="false">IFERROR(LOOKUP(9.99E+307,C64:L64),"")</f>
        <v/>
      </c>
      <c r="N64" s="9" t="str">
        <f aca="false">IFERROR(ROUND(SLOPE(C64:L64,$C$4:$L$4),1),"")</f>
        <v/>
      </c>
      <c r="O64" s="9" t="str">
        <f aca="false">IF(M64="","",IF(M64&gt;=80,"On track",IF(M64&gt;=60,"Developing","Intervention")))</f>
        <v/>
      </c>
    </row>
    <row r="65" customFormat="false" ht="15" hidden="false" customHeight="false" outlineLevel="0" collapsed="false">
      <c r="A65" s="10" t="s">
        <v>116</v>
      </c>
      <c r="B65" s="9" t="str">
        <f aca="false">IFERROR(INDEX(Roster!$F$2:$F$62,MATCH(A65,Roster!$B$2:$B$62,0))&amp;"","")</f>
        <v/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9" t="str">
        <f aca="false">IFERROR(LOOKUP(9.99E+307,C65:L65),"")</f>
        <v/>
      </c>
      <c r="N65" s="9" t="str">
        <f aca="false">IFERROR(ROUND(SLOPE(C65:L65,$C$4:$L$4),1),"")</f>
        <v/>
      </c>
      <c r="O65" s="9" t="str">
        <f aca="false">IF(M65="","",IF(M65&gt;=80,"On track",IF(M65&gt;=60,"Developing","Intervention")))</f>
        <v/>
      </c>
    </row>
    <row r="66" customFormat="false" ht="15" hidden="false" customHeight="false" outlineLevel="0" collapsed="false">
      <c r="A66" s="17" t="s">
        <v>135</v>
      </c>
      <c r="C66" s="18" t="str">
        <f aca="false">IFERROR(ROUND(AVERAGE(C5:C65),0),"")</f>
        <v/>
      </c>
      <c r="D66" s="18" t="str">
        <f aca="false">IFERROR(ROUND(AVERAGE(D5:D65),0),"")</f>
        <v/>
      </c>
      <c r="E66" s="18" t="str">
        <f aca="false">IFERROR(ROUND(AVERAGE(E5:E65),0),"")</f>
        <v/>
      </c>
      <c r="F66" s="18" t="str">
        <f aca="false">IFERROR(ROUND(AVERAGE(F5:F65),0),"")</f>
        <v/>
      </c>
      <c r="G66" s="18" t="str">
        <f aca="false">IFERROR(ROUND(AVERAGE(G5:G65),0),"")</f>
        <v/>
      </c>
      <c r="H66" s="18" t="str">
        <f aca="false">IFERROR(ROUND(AVERAGE(H5:H65),0),"")</f>
        <v/>
      </c>
      <c r="I66" s="18" t="str">
        <f aca="false">IFERROR(ROUND(AVERAGE(I5:I65),0),"")</f>
        <v/>
      </c>
      <c r="J66" s="18" t="str">
        <f aca="false">IFERROR(ROUND(AVERAGE(J5:J65),0),"")</f>
        <v/>
      </c>
      <c r="K66" s="18" t="str">
        <f aca="false">IFERROR(ROUND(AVERAGE(K5:K65),0),"")</f>
        <v/>
      </c>
      <c r="L66" s="18" t="str">
        <f aca="false">IFERROR(ROUND(AVERAGE(L5:L65),0),"")</f>
        <v/>
      </c>
    </row>
  </sheetData>
  <mergeCells count="2">
    <mergeCell ref="A1:N1"/>
    <mergeCell ref="A2:N2"/>
  </mergeCells>
  <conditionalFormatting sqref="C5:L65">
    <cfRule type="expression" priority="2" aboveAverage="0" equalAverage="0" bottom="0" percent="0" rank="0" text="" dxfId="2">
      <formula>AND(C5&lt;&gt;"",C5&gt;=80)</formula>
    </cfRule>
    <cfRule type="expression" priority="3" aboveAverage="0" equalAverage="0" bottom="0" percent="0" rank="0" text="" dxfId="1">
      <formula>AND(C5&lt;&gt;"",C5&gt;=60,C5&lt;80)</formula>
    </cfRule>
    <cfRule type="expression" priority="4" aboveAverage="0" equalAverage="0" bottom="0" percent="0" rank="0" text="" dxfId="0">
      <formula>AND(C5&lt;&gt;"",C5&lt;60)</formula>
    </cfRule>
  </conditionalFormatting>
  <conditionalFormatting sqref="O5:O65">
    <cfRule type="expression" priority="5" aboveAverage="0" equalAverage="0" bottom="0" percent="0" rank="0" text="" dxfId="2">
      <formula>$O5="On track"</formula>
    </cfRule>
    <cfRule type="expression" priority="6" aboveAverage="0" equalAverage="0" bottom="0" percent="0" rank="0" text="" dxfId="1">
      <formula>$O5="Developing"</formula>
    </cfRule>
    <cfRule type="expression" priority="7" aboveAverage="0" equalAverage="0" bottom="0" percent="0" rank="0" text="" dxfId="0">
      <formula>$O5="Intervention"</formula>
    </cfRule>
  </conditionalFormatting>
  <conditionalFormatting sqref="N5:N65">
    <cfRule type="cellIs" priority="8" operator="lessThanOr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3" t="s">
        <v>136</v>
      </c>
      <c r="B1" s="13"/>
      <c r="C1" s="13"/>
      <c r="D1" s="13"/>
    </row>
    <row r="2" customFormat="false" ht="15" hidden="false" customHeight="false" outlineLevel="0" collapsed="false">
      <c r="A2" s="14" t="s">
        <v>137</v>
      </c>
      <c r="B2" s="14"/>
      <c r="C2" s="14"/>
      <c r="D2" s="14"/>
      <c r="E2" s="14"/>
      <c r="F2" s="14"/>
    </row>
    <row r="3" customFormat="false" ht="15" hidden="false" customHeight="false" outlineLevel="0" collapsed="false">
      <c r="A3" s="8" t="s">
        <v>16</v>
      </c>
      <c r="B3" s="7" t="s">
        <v>138</v>
      </c>
      <c r="C3" s="7" t="s">
        <v>139</v>
      </c>
      <c r="D3" s="7" t="s">
        <v>140</v>
      </c>
      <c r="F3" s="19" t="s">
        <v>141</v>
      </c>
      <c r="G3" s="20"/>
    </row>
    <row r="4" customFormat="false" ht="15" hidden="false" customHeight="false" outlineLevel="0" collapsed="false">
      <c r="A4" s="21" t="s">
        <v>21</v>
      </c>
      <c r="B4" s="22"/>
      <c r="C4" s="22"/>
      <c r="D4" s="9" t="str">
        <f aca="false">IF(OR(B4="",C4=""),"",C4-B4)</f>
        <v/>
      </c>
      <c r="F4" s="21" t="s">
        <v>142</v>
      </c>
      <c r="G4" s="23" t="n">
        <f aca="false">COUNT(D4:D64)</f>
        <v>0</v>
      </c>
    </row>
    <row r="5" customFormat="false" ht="15" hidden="false" customHeight="false" outlineLevel="0" collapsed="false">
      <c r="A5" s="21" t="s">
        <v>25</v>
      </c>
      <c r="B5" s="22"/>
      <c r="C5" s="22"/>
      <c r="D5" s="9" t="str">
        <f aca="false">IF(OR(B5="",C5=""),"",C5-B5)</f>
        <v/>
      </c>
      <c r="F5" s="21" t="s">
        <v>143</v>
      </c>
      <c r="G5" s="24" t="str">
        <f aca="false">IFERROR(AVERAGE(B4:B64),"")</f>
        <v/>
      </c>
    </row>
    <row r="6" customFormat="false" ht="15" hidden="false" customHeight="false" outlineLevel="0" collapsed="false">
      <c r="A6" s="21" t="s">
        <v>29</v>
      </c>
      <c r="B6" s="22"/>
      <c r="C6" s="22"/>
      <c r="D6" s="9" t="str">
        <f aca="false">IF(OR(B6="",C6=""),"",C6-B6)</f>
        <v/>
      </c>
      <c r="F6" s="21" t="s">
        <v>144</v>
      </c>
      <c r="G6" s="24" t="str">
        <f aca="false">IFERROR(AVERAGE(C4:C64),"")</f>
        <v/>
      </c>
    </row>
    <row r="7" customFormat="false" ht="15" hidden="false" customHeight="false" outlineLevel="0" collapsed="false">
      <c r="A7" s="21" t="s">
        <v>33</v>
      </c>
      <c r="B7" s="22"/>
      <c r="C7" s="22"/>
      <c r="D7" s="9" t="str">
        <f aca="false">IF(OR(B7="",C7=""),"",C7-B7)</f>
        <v/>
      </c>
      <c r="F7" s="21" t="s">
        <v>145</v>
      </c>
      <c r="G7" s="24" t="str">
        <f aca="false">IFERROR(AVERAGE(D4:D64),"")</f>
        <v/>
      </c>
    </row>
    <row r="8" customFormat="false" ht="15" hidden="false" customHeight="false" outlineLevel="0" collapsed="false">
      <c r="A8" s="21" t="s">
        <v>36</v>
      </c>
      <c r="B8" s="22"/>
      <c r="C8" s="22"/>
      <c r="D8" s="9" t="str">
        <f aca="false">IF(OR(B8="",C8=""),"",C8-B8)</f>
        <v/>
      </c>
      <c r="F8" s="21" t="s">
        <v>146</v>
      </c>
      <c r="G8" s="24" t="str">
        <f aca="false">IFERROR(STDEV(B4:B64),"")</f>
        <v/>
      </c>
    </row>
    <row r="9" customFormat="false" ht="15" hidden="false" customHeight="false" outlineLevel="0" collapsed="false">
      <c r="A9" s="21" t="s">
        <v>37</v>
      </c>
      <c r="B9" s="22"/>
      <c r="C9" s="22"/>
      <c r="D9" s="9" t="str">
        <f aca="false">IF(OR(B9="",C9=""),"",C9-B9)</f>
        <v/>
      </c>
      <c r="F9" s="21" t="s">
        <v>147</v>
      </c>
      <c r="G9" s="24" t="str">
        <f aca="false">IFERROR(STDEV(C4:C64),"")</f>
        <v/>
      </c>
    </row>
    <row r="10" customFormat="false" ht="15" hidden="false" customHeight="false" outlineLevel="0" collapsed="false">
      <c r="A10" s="21" t="s">
        <v>38</v>
      </c>
      <c r="B10" s="22"/>
      <c r="C10" s="22"/>
      <c r="D10" s="9" t="str">
        <f aca="false">IF(OR(B10="",C10=""),"",C10-B10)</f>
        <v/>
      </c>
      <c r="F10" s="21" t="s">
        <v>148</v>
      </c>
      <c r="G10" s="25" t="str">
        <f aca="false">IFERROR(SQRT((STDEV(B4:B64)^2+STDEV(C4:C64)^2)/2),"")</f>
        <v/>
      </c>
    </row>
    <row r="11" customFormat="false" ht="15" hidden="false" customHeight="false" outlineLevel="0" collapsed="false">
      <c r="A11" s="21" t="s">
        <v>40</v>
      </c>
      <c r="B11" s="22"/>
      <c r="C11" s="22"/>
      <c r="D11" s="9" t="str">
        <f aca="false">IF(OR(B11="",C11=""),"",C11-B11)</f>
        <v/>
      </c>
      <c r="F11" s="26" t="s">
        <v>149</v>
      </c>
      <c r="G11" s="27" t="str">
        <f aca="false">IFERROR((AVERAGE(C4:C64)-AVERAGE(B4:B64))/SQRT((STDEV(B4:B64)^2+STDEV(C4:C64)^2)/2),"")</f>
        <v/>
      </c>
    </row>
    <row r="12" customFormat="false" ht="15" hidden="false" customHeight="false" outlineLevel="0" collapsed="false">
      <c r="A12" s="21" t="s">
        <v>43</v>
      </c>
      <c r="B12" s="22"/>
      <c r="C12" s="22"/>
      <c r="D12" s="9" t="str">
        <f aca="false">IF(OR(B12="",C12=""),"",C12-B12)</f>
        <v/>
      </c>
      <c r="F12" s="21" t="s">
        <v>150</v>
      </c>
      <c r="G12" s="28" t="str">
        <f aca="false">IFERROR(TTEST(B4:B64,C4:C64,2,1),"")</f>
        <v/>
      </c>
    </row>
    <row r="13" customFormat="false" ht="15" hidden="false" customHeight="false" outlineLevel="0" collapsed="false">
      <c r="A13" s="21" t="s">
        <v>46</v>
      </c>
      <c r="B13" s="22"/>
      <c r="C13" s="22"/>
      <c r="D13" s="9" t="str">
        <f aca="false">IF(OR(B13="",C13=""),"",C13-B13)</f>
        <v/>
      </c>
      <c r="F13" s="26" t="s">
        <v>151</v>
      </c>
      <c r="G13" s="29" t="str">
        <f aca="false">IFERROR(IF(G11="","",IF(G11&gt;=0.8,"Large effect",IF(G11&gt;=0.5,"Medium effect",IF(G11&gt;=0.4,"~A year's growth",IF(G11&gt;=0.2,"Small effect","Negligible"))))),"")</f>
        <v/>
      </c>
    </row>
    <row r="14" customFormat="false" ht="15" hidden="false" customHeight="false" outlineLevel="0" collapsed="false">
      <c r="A14" s="21" t="s">
        <v>48</v>
      </c>
      <c r="B14" s="22"/>
      <c r="C14" s="22"/>
      <c r="D14" s="9" t="str">
        <f aca="false">IF(OR(B14="",C14=""),"",C14-B14)</f>
        <v/>
      </c>
    </row>
    <row r="15" customFormat="false" ht="15" hidden="false" customHeight="true" outlineLevel="0" collapsed="false">
      <c r="A15" s="21" t="s">
        <v>51</v>
      </c>
      <c r="B15" s="22"/>
      <c r="C15" s="22"/>
      <c r="D15" s="9" t="str">
        <f aca="false">IF(OR(B15="",C15=""),"",C15-B15)</f>
        <v/>
      </c>
      <c r="F15" s="30" t="s">
        <v>152</v>
      </c>
      <c r="G15" s="30"/>
    </row>
    <row r="16" customFormat="false" ht="15" hidden="false" customHeight="false" outlineLevel="0" collapsed="false">
      <c r="A16" s="21" t="s">
        <v>53</v>
      </c>
      <c r="B16" s="22"/>
      <c r="C16" s="22"/>
      <c r="D16" s="9" t="str">
        <f aca="false">IF(OR(B16="",C16=""),"",C16-B16)</f>
        <v/>
      </c>
      <c r="F16" s="30"/>
      <c r="G16" s="30"/>
    </row>
    <row r="17" customFormat="false" ht="15" hidden="false" customHeight="false" outlineLevel="0" collapsed="false">
      <c r="A17" s="21" t="s">
        <v>55</v>
      </c>
      <c r="B17" s="22"/>
      <c r="C17" s="22"/>
      <c r="D17" s="9" t="str">
        <f aca="false">IF(OR(B17="",C17=""),"",C17-B17)</f>
        <v/>
      </c>
    </row>
    <row r="18" customFormat="false" ht="15" hidden="false" customHeight="false" outlineLevel="0" collapsed="false">
      <c r="A18" s="21" t="s">
        <v>57</v>
      </c>
      <c r="B18" s="22"/>
      <c r="C18" s="22"/>
      <c r="D18" s="9" t="str">
        <f aca="false">IF(OR(B18="",C18=""),"",C18-B18)</f>
        <v/>
      </c>
    </row>
    <row r="19" customFormat="false" ht="15" hidden="false" customHeight="false" outlineLevel="0" collapsed="false">
      <c r="A19" s="21" t="s">
        <v>59</v>
      </c>
      <c r="B19" s="22"/>
      <c r="C19" s="22"/>
      <c r="D19" s="9" t="str">
        <f aca="false">IF(OR(B19="",C19=""),"",C19-B19)</f>
        <v/>
      </c>
    </row>
    <row r="20" customFormat="false" ht="15" hidden="false" customHeight="false" outlineLevel="0" collapsed="false">
      <c r="A20" s="21" t="s">
        <v>61</v>
      </c>
      <c r="B20" s="22"/>
      <c r="C20" s="22"/>
      <c r="D20" s="9" t="str">
        <f aca="false">IF(OR(B20="",C20=""),"",C20-B20)</f>
        <v/>
      </c>
    </row>
    <row r="21" customFormat="false" ht="15" hidden="false" customHeight="false" outlineLevel="0" collapsed="false">
      <c r="A21" s="21" t="s">
        <v>62</v>
      </c>
      <c r="B21" s="22"/>
      <c r="C21" s="22"/>
      <c r="D21" s="9" t="str">
        <f aca="false">IF(OR(B21="",C21=""),"",C21-B21)</f>
        <v/>
      </c>
    </row>
    <row r="22" customFormat="false" ht="15" hidden="false" customHeight="false" outlineLevel="0" collapsed="false">
      <c r="A22" s="21" t="s">
        <v>64</v>
      </c>
      <c r="B22" s="22"/>
      <c r="C22" s="22"/>
      <c r="D22" s="9" t="str">
        <f aca="false">IF(OR(B22="",C22=""),"",C22-B22)</f>
        <v/>
      </c>
    </row>
    <row r="23" customFormat="false" ht="15" hidden="false" customHeight="false" outlineLevel="0" collapsed="false">
      <c r="A23" s="21" t="s">
        <v>66</v>
      </c>
      <c r="B23" s="22"/>
      <c r="C23" s="22"/>
      <c r="D23" s="9" t="str">
        <f aca="false">IF(OR(B23="",C23=""),"",C23-B23)</f>
        <v/>
      </c>
    </row>
    <row r="24" customFormat="false" ht="15" hidden="false" customHeight="false" outlineLevel="0" collapsed="false">
      <c r="A24" s="21" t="s">
        <v>68</v>
      </c>
      <c r="B24" s="22"/>
      <c r="C24" s="22"/>
      <c r="D24" s="9" t="str">
        <f aca="false">IF(OR(B24="",C24=""),"",C24-B24)</f>
        <v/>
      </c>
    </row>
    <row r="25" customFormat="false" ht="15" hidden="false" customHeight="false" outlineLevel="0" collapsed="false">
      <c r="A25" s="21" t="s">
        <v>69</v>
      </c>
      <c r="B25" s="22"/>
      <c r="C25" s="22"/>
      <c r="D25" s="9" t="str">
        <f aca="false">IF(OR(B25="",C25=""),"",C25-B25)</f>
        <v/>
      </c>
    </row>
    <row r="26" customFormat="false" ht="15" hidden="false" customHeight="false" outlineLevel="0" collapsed="false">
      <c r="A26" s="21" t="s">
        <v>70</v>
      </c>
      <c r="B26" s="22"/>
      <c r="C26" s="22"/>
      <c r="D26" s="9" t="str">
        <f aca="false">IF(OR(B26="",C26=""),"",C26-B26)</f>
        <v/>
      </c>
    </row>
    <row r="27" customFormat="false" ht="15" hidden="false" customHeight="false" outlineLevel="0" collapsed="false">
      <c r="A27" s="21" t="s">
        <v>71</v>
      </c>
      <c r="B27" s="22"/>
      <c r="C27" s="22"/>
      <c r="D27" s="9" t="str">
        <f aca="false">IF(OR(B27="",C27=""),"",C27-B27)</f>
        <v/>
      </c>
    </row>
    <row r="28" customFormat="false" ht="15" hidden="false" customHeight="false" outlineLevel="0" collapsed="false">
      <c r="A28" s="21" t="s">
        <v>72</v>
      </c>
      <c r="B28" s="22"/>
      <c r="C28" s="22"/>
      <c r="D28" s="9" t="str">
        <f aca="false">IF(OR(B28="",C28=""),"",C28-B28)</f>
        <v/>
      </c>
    </row>
    <row r="29" customFormat="false" ht="15" hidden="false" customHeight="false" outlineLevel="0" collapsed="false">
      <c r="A29" s="21" t="s">
        <v>73</v>
      </c>
      <c r="B29" s="22"/>
      <c r="C29" s="22"/>
      <c r="D29" s="9" t="str">
        <f aca="false">IF(OR(B29="",C29=""),"",C29-B29)</f>
        <v/>
      </c>
    </row>
    <row r="30" customFormat="false" ht="15" hidden="false" customHeight="false" outlineLevel="0" collapsed="false">
      <c r="A30" s="21" t="s">
        <v>74</v>
      </c>
      <c r="B30" s="22"/>
      <c r="C30" s="22"/>
      <c r="D30" s="9" t="str">
        <f aca="false">IF(OR(B30="",C30=""),"",C30-B30)</f>
        <v/>
      </c>
    </row>
    <row r="31" customFormat="false" ht="15" hidden="false" customHeight="false" outlineLevel="0" collapsed="false">
      <c r="A31" s="21" t="s">
        <v>76</v>
      </c>
      <c r="B31" s="22"/>
      <c r="C31" s="22"/>
      <c r="D31" s="9" t="str">
        <f aca="false">IF(OR(B31="",C31=""),"",C31-B31)</f>
        <v/>
      </c>
    </row>
    <row r="32" customFormat="false" ht="15" hidden="false" customHeight="false" outlineLevel="0" collapsed="false">
      <c r="A32" s="21" t="s">
        <v>78</v>
      </c>
      <c r="B32" s="22"/>
      <c r="C32" s="22"/>
      <c r="D32" s="9" t="str">
        <f aca="false">IF(OR(B32="",C32=""),"",C32-B32)</f>
        <v/>
      </c>
    </row>
    <row r="33" customFormat="false" ht="15" hidden="false" customHeight="false" outlineLevel="0" collapsed="false">
      <c r="A33" s="21" t="s">
        <v>80</v>
      </c>
      <c r="B33" s="22"/>
      <c r="C33" s="22"/>
      <c r="D33" s="9" t="str">
        <f aca="false">IF(OR(B33="",C33=""),"",C33-B33)</f>
        <v/>
      </c>
    </row>
    <row r="34" customFormat="false" ht="15" hidden="false" customHeight="false" outlineLevel="0" collapsed="false">
      <c r="A34" s="21" t="s">
        <v>82</v>
      </c>
      <c r="B34" s="22"/>
      <c r="C34" s="22"/>
      <c r="D34" s="9" t="str">
        <f aca="false">IF(OR(B34="",C34=""),"",C34-B34)</f>
        <v/>
      </c>
    </row>
    <row r="35" customFormat="false" ht="15" hidden="false" customHeight="false" outlineLevel="0" collapsed="false">
      <c r="A35" s="21" t="s">
        <v>83</v>
      </c>
      <c r="B35" s="22"/>
      <c r="C35" s="22"/>
      <c r="D35" s="9" t="str">
        <f aca="false">IF(OR(B35="",C35=""),"",C35-B35)</f>
        <v/>
      </c>
    </row>
    <row r="36" customFormat="false" ht="15" hidden="false" customHeight="false" outlineLevel="0" collapsed="false">
      <c r="A36" s="21" t="s">
        <v>84</v>
      </c>
      <c r="B36" s="22"/>
      <c r="C36" s="22"/>
      <c r="D36" s="9" t="str">
        <f aca="false">IF(OR(B36="",C36=""),"",C36-B36)</f>
        <v/>
      </c>
    </row>
    <row r="37" customFormat="false" ht="15" hidden="false" customHeight="false" outlineLevel="0" collapsed="false">
      <c r="A37" s="21" t="s">
        <v>85</v>
      </c>
      <c r="B37" s="22"/>
      <c r="C37" s="22"/>
      <c r="D37" s="9" t="str">
        <f aca="false">IF(OR(B37="",C37=""),"",C37-B37)</f>
        <v/>
      </c>
    </row>
    <row r="38" customFormat="false" ht="15" hidden="false" customHeight="false" outlineLevel="0" collapsed="false">
      <c r="A38" s="21" t="s">
        <v>86</v>
      </c>
      <c r="B38" s="22"/>
      <c r="C38" s="22"/>
      <c r="D38" s="9" t="str">
        <f aca="false">IF(OR(B38="",C38=""),"",C38-B38)</f>
        <v/>
      </c>
    </row>
    <row r="39" customFormat="false" ht="15" hidden="false" customHeight="false" outlineLevel="0" collapsed="false">
      <c r="A39" s="21" t="s">
        <v>87</v>
      </c>
      <c r="B39" s="22"/>
      <c r="C39" s="22"/>
      <c r="D39" s="9" t="str">
        <f aca="false">IF(OR(B39="",C39=""),"",C39-B39)</f>
        <v/>
      </c>
    </row>
    <row r="40" customFormat="false" ht="15" hidden="false" customHeight="false" outlineLevel="0" collapsed="false">
      <c r="A40" s="21" t="s">
        <v>88</v>
      </c>
      <c r="B40" s="22"/>
      <c r="C40" s="22"/>
      <c r="D40" s="9" t="str">
        <f aca="false">IF(OR(B40="",C40=""),"",C40-B40)</f>
        <v/>
      </c>
    </row>
    <row r="41" customFormat="false" ht="15" hidden="false" customHeight="false" outlineLevel="0" collapsed="false">
      <c r="A41" s="21" t="s">
        <v>89</v>
      </c>
      <c r="B41" s="22"/>
      <c r="C41" s="22"/>
      <c r="D41" s="9" t="str">
        <f aca="false">IF(OR(B41="",C41=""),"",C41-B41)</f>
        <v/>
      </c>
    </row>
    <row r="42" customFormat="false" ht="15" hidden="false" customHeight="false" outlineLevel="0" collapsed="false">
      <c r="A42" s="21" t="s">
        <v>90</v>
      </c>
      <c r="B42" s="22"/>
      <c r="C42" s="22"/>
      <c r="D42" s="9" t="str">
        <f aca="false">IF(OR(B42="",C42=""),"",C42-B42)</f>
        <v/>
      </c>
    </row>
    <row r="43" customFormat="false" ht="15" hidden="false" customHeight="false" outlineLevel="0" collapsed="false">
      <c r="A43" s="21" t="s">
        <v>91</v>
      </c>
      <c r="B43" s="22"/>
      <c r="C43" s="22"/>
      <c r="D43" s="9" t="str">
        <f aca="false">IF(OR(B43="",C43=""),"",C43-B43)</f>
        <v/>
      </c>
    </row>
    <row r="44" customFormat="false" ht="15" hidden="false" customHeight="false" outlineLevel="0" collapsed="false">
      <c r="A44" s="21" t="s">
        <v>92</v>
      </c>
      <c r="B44" s="22"/>
      <c r="C44" s="22"/>
      <c r="D44" s="9" t="str">
        <f aca="false">IF(OR(B44="",C44=""),"",C44-B44)</f>
        <v/>
      </c>
    </row>
    <row r="45" customFormat="false" ht="15" hidden="false" customHeight="false" outlineLevel="0" collapsed="false">
      <c r="A45" s="21" t="s">
        <v>93</v>
      </c>
      <c r="B45" s="22"/>
      <c r="C45" s="22"/>
      <c r="D45" s="9" t="str">
        <f aca="false">IF(OR(B45="",C45=""),"",C45-B45)</f>
        <v/>
      </c>
    </row>
    <row r="46" customFormat="false" ht="15" hidden="false" customHeight="false" outlineLevel="0" collapsed="false">
      <c r="A46" s="21" t="s">
        <v>94</v>
      </c>
      <c r="B46" s="22"/>
      <c r="C46" s="22"/>
      <c r="D46" s="9" t="str">
        <f aca="false">IF(OR(B46="",C46=""),"",C46-B46)</f>
        <v/>
      </c>
    </row>
    <row r="47" customFormat="false" ht="15" hidden="false" customHeight="false" outlineLevel="0" collapsed="false">
      <c r="A47" s="21" t="s">
        <v>96</v>
      </c>
      <c r="B47" s="22"/>
      <c r="C47" s="22"/>
      <c r="D47" s="9" t="str">
        <f aca="false">IF(OR(B47="",C47=""),"",C47-B47)</f>
        <v/>
      </c>
    </row>
    <row r="48" customFormat="false" ht="15" hidden="false" customHeight="false" outlineLevel="0" collapsed="false">
      <c r="A48" s="21" t="s">
        <v>98</v>
      </c>
      <c r="B48" s="22"/>
      <c r="C48" s="22"/>
      <c r="D48" s="9" t="str">
        <f aca="false">IF(OR(B48="",C48=""),"",C48-B48)</f>
        <v/>
      </c>
    </row>
    <row r="49" customFormat="false" ht="15" hidden="false" customHeight="false" outlineLevel="0" collapsed="false">
      <c r="A49" s="21" t="s">
        <v>99</v>
      </c>
      <c r="B49" s="22"/>
      <c r="C49" s="22"/>
      <c r="D49" s="9" t="str">
        <f aca="false">IF(OR(B49="",C49=""),"",C49-B49)</f>
        <v/>
      </c>
    </row>
    <row r="50" customFormat="false" ht="15" hidden="false" customHeight="false" outlineLevel="0" collapsed="false">
      <c r="A50" s="21" t="s">
        <v>100</v>
      </c>
      <c r="B50" s="22"/>
      <c r="C50" s="22"/>
      <c r="D50" s="9" t="str">
        <f aca="false">IF(OR(B50="",C50=""),"",C50-B50)</f>
        <v/>
      </c>
    </row>
    <row r="51" customFormat="false" ht="15" hidden="false" customHeight="false" outlineLevel="0" collapsed="false">
      <c r="A51" s="21" t="s">
        <v>101</v>
      </c>
      <c r="B51" s="22"/>
      <c r="C51" s="22"/>
      <c r="D51" s="9" t="str">
        <f aca="false">IF(OR(B51="",C51=""),"",C51-B51)</f>
        <v/>
      </c>
    </row>
    <row r="52" customFormat="false" ht="15" hidden="false" customHeight="false" outlineLevel="0" collapsed="false">
      <c r="A52" s="21" t="s">
        <v>102</v>
      </c>
      <c r="B52" s="22"/>
      <c r="C52" s="22"/>
      <c r="D52" s="9" t="str">
        <f aca="false">IF(OR(B52="",C52=""),"",C52-B52)</f>
        <v/>
      </c>
    </row>
    <row r="53" customFormat="false" ht="15" hidden="false" customHeight="false" outlineLevel="0" collapsed="false">
      <c r="A53" s="21" t="s">
        <v>103</v>
      </c>
      <c r="B53" s="22"/>
      <c r="C53" s="22"/>
      <c r="D53" s="9" t="str">
        <f aca="false">IF(OR(B53="",C53=""),"",C53-B53)</f>
        <v/>
      </c>
    </row>
    <row r="54" customFormat="false" ht="15" hidden="false" customHeight="false" outlineLevel="0" collapsed="false">
      <c r="A54" s="21" t="s">
        <v>105</v>
      </c>
      <c r="B54" s="22"/>
      <c r="C54" s="22"/>
      <c r="D54" s="9" t="str">
        <f aca="false">IF(OR(B54="",C54=""),"",C54-B54)</f>
        <v/>
      </c>
    </row>
    <row r="55" customFormat="false" ht="15" hidden="false" customHeight="false" outlineLevel="0" collapsed="false">
      <c r="A55" s="21" t="s">
        <v>106</v>
      </c>
      <c r="B55" s="22"/>
      <c r="C55" s="22"/>
      <c r="D55" s="9" t="str">
        <f aca="false">IF(OR(B55="",C55=""),"",C55-B55)</f>
        <v/>
      </c>
    </row>
    <row r="56" customFormat="false" ht="15" hidden="false" customHeight="false" outlineLevel="0" collapsed="false">
      <c r="A56" s="21" t="s">
        <v>108</v>
      </c>
      <c r="B56" s="22"/>
      <c r="C56" s="22"/>
      <c r="D56" s="9" t="str">
        <f aca="false">IF(OR(B56="",C56=""),"",C56-B56)</f>
        <v/>
      </c>
    </row>
    <row r="57" customFormat="false" ht="15" hidden="false" customHeight="false" outlineLevel="0" collapsed="false">
      <c r="A57" s="21" t="s">
        <v>109</v>
      </c>
      <c r="B57" s="22"/>
      <c r="C57" s="22"/>
      <c r="D57" s="9" t="str">
        <f aca="false">IF(OR(B57="",C57=""),"",C57-B57)</f>
        <v/>
      </c>
    </row>
    <row r="58" customFormat="false" ht="15" hidden="false" customHeight="false" outlineLevel="0" collapsed="false">
      <c r="A58" s="21" t="s">
        <v>110</v>
      </c>
      <c r="B58" s="22"/>
      <c r="C58" s="22"/>
      <c r="D58" s="9" t="str">
        <f aca="false">IF(OR(B58="",C58=""),"",C58-B58)</f>
        <v/>
      </c>
    </row>
    <row r="59" customFormat="false" ht="15" hidden="false" customHeight="false" outlineLevel="0" collapsed="false">
      <c r="A59" s="21" t="s">
        <v>111</v>
      </c>
      <c r="B59" s="22"/>
      <c r="C59" s="22"/>
      <c r="D59" s="9" t="str">
        <f aca="false">IF(OR(B59="",C59=""),"",C59-B59)</f>
        <v/>
      </c>
    </row>
    <row r="60" customFormat="false" ht="15" hidden="false" customHeight="false" outlineLevel="0" collapsed="false">
      <c r="A60" s="21" t="s">
        <v>112</v>
      </c>
      <c r="B60" s="22"/>
      <c r="C60" s="22"/>
      <c r="D60" s="9" t="str">
        <f aca="false">IF(OR(B60="",C60=""),"",C60-B60)</f>
        <v/>
      </c>
    </row>
    <row r="61" customFormat="false" ht="15" hidden="false" customHeight="false" outlineLevel="0" collapsed="false">
      <c r="A61" s="21" t="s">
        <v>113</v>
      </c>
      <c r="B61" s="22"/>
      <c r="C61" s="22"/>
      <c r="D61" s="9" t="str">
        <f aca="false">IF(OR(B61="",C61=""),"",C61-B61)</f>
        <v/>
      </c>
    </row>
    <row r="62" customFormat="false" ht="15" hidden="false" customHeight="false" outlineLevel="0" collapsed="false">
      <c r="A62" s="21" t="s">
        <v>114</v>
      </c>
      <c r="B62" s="22"/>
      <c r="C62" s="22"/>
      <c r="D62" s="9" t="str">
        <f aca="false">IF(OR(B62="",C62=""),"",C62-B62)</f>
        <v/>
      </c>
    </row>
    <row r="63" customFormat="false" ht="15" hidden="false" customHeight="false" outlineLevel="0" collapsed="false">
      <c r="A63" s="21" t="s">
        <v>115</v>
      </c>
      <c r="B63" s="22"/>
      <c r="C63" s="22"/>
      <c r="D63" s="9" t="str">
        <f aca="false">IF(OR(B63="",C63=""),"",C63-B63)</f>
        <v/>
      </c>
    </row>
    <row r="64" customFormat="false" ht="15" hidden="false" customHeight="false" outlineLevel="0" collapsed="false">
      <c r="A64" s="21" t="s">
        <v>116</v>
      </c>
      <c r="B64" s="22"/>
      <c r="C64" s="22"/>
      <c r="D64" s="9" t="str">
        <f aca="false">IF(OR(B64="",C64=""),"",C64-B64)</f>
        <v/>
      </c>
    </row>
  </sheetData>
  <mergeCells count="3">
    <mergeCell ref="A1:D1"/>
    <mergeCell ref="A2:F2"/>
    <mergeCell ref="F15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2026-10-05T17:15:48Z</dcterms:created>
  <dc:creator>openpyxl</dc:creator>
  <dc:description/>
  <dc:language>en-US</dc:language>
  <cp:lastModifiedBy/>
  <dcterms:modified xsi:type="dcterms:W3CDTF">2026-10-05T17:15:50Z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